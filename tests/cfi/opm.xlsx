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t\PycharmProjects\pyvallib\tests\cfi\"/>
    </mc:Choice>
  </mc:AlternateContent>
  <xr:revisionPtr revIDLastSave="0" documentId="13_ncr:1_{01679253-1DC2-4285-A3F9-518B4627BA0E}" xr6:coauthVersionLast="47" xr6:coauthVersionMax="47" xr10:uidLastSave="{00000000-0000-0000-0000-000000000000}"/>
  <bookViews>
    <workbookView xWindow="-120" yWindow="-120" windowWidth="29040" windowHeight="15720" firstSheet="2" activeTab="3" xr2:uid="{FBB90326-E547-4477-B7AE-3C0F9E3BF461}"/>
  </bookViews>
  <sheets>
    <sheet name="Summary" sheetId="3" r:id="rId1"/>
    <sheet name="1.a Capital Structure" sheetId="1" r:id="rId2"/>
    <sheet name="1.b  OPM" sheetId="2" r:id="rId3"/>
    <sheet name="1.c  OPM (backsolve)" sheetId="14" r:id="rId4"/>
    <sheet name="2.a Capital Structure" sheetId="4" r:id="rId5"/>
    <sheet name="2.b OPM" sheetId="5" r:id="rId6"/>
    <sheet name="2.c OPM (backsolve)" sheetId="15" r:id="rId7"/>
    <sheet name="3.a Capital Structure" sheetId="6" r:id="rId8"/>
    <sheet name="3.b OPM" sheetId="7" r:id="rId9"/>
    <sheet name="4.a Capital Structure" sheetId="8" r:id="rId10"/>
    <sheet name="4.b OPM" sheetId="9" r:id="rId11"/>
    <sheet name="5.a Capital Structure" sheetId="10" r:id="rId12"/>
    <sheet name="5.b OPM" sheetId="11" r:id="rId13"/>
    <sheet name="6.a Capital Structure" sheetId="12" r:id="rId14"/>
    <sheet name="6.b OPM" sheetId="13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8" i="15" l="1"/>
  <c r="O60" i="15"/>
  <c r="M58" i="15"/>
  <c r="L58" i="15"/>
  <c r="K58" i="15"/>
  <c r="J58" i="15"/>
  <c r="I58" i="15"/>
  <c r="H58" i="15"/>
  <c r="G58" i="15"/>
  <c r="C57" i="15"/>
  <c r="B57" i="15"/>
  <c r="C52" i="15"/>
  <c r="C66" i="15" s="1"/>
  <c r="B46" i="15"/>
  <c r="B60" i="15" s="1"/>
  <c r="C38" i="15"/>
  <c r="B32" i="15"/>
  <c r="C30" i="15"/>
  <c r="C44" i="15" s="1"/>
  <c r="C58" i="15" s="1"/>
  <c r="B30" i="15"/>
  <c r="B44" i="15" s="1"/>
  <c r="B58" i="15" s="1"/>
  <c r="M16" i="15"/>
  <c r="M44" i="15" s="1"/>
  <c r="L16" i="15"/>
  <c r="L44" i="15" s="1"/>
  <c r="K16" i="15"/>
  <c r="K44" i="15" s="1"/>
  <c r="J16" i="15"/>
  <c r="J44" i="15" s="1"/>
  <c r="I16" i="15"/>
  <c r="I44" i="15" s="1"/>
  <c r="H16" i="15"/>
  <c r="H44" i="15" s="1"/>
  <c r="G16" i="15"/>
  <c r="G44" i="15" s="1"/>
  <c r="L9" i="15"/>
  <c r="K9" i="15"/>
  <c r="J9" i="15"/>
  <c r="I9" i="15"/>
  <c r="H9" i="15"/>
  <c r="G9" i="15"/>
  <c r="M8" i="15"/>
  <c r="M24" i="15" s="1"/>
  <c r="L8" i="15"/>
  <c r="K8" i="15"/>
  <c r="J8" i="15"/>
  <c r="I8" i="15"/>
  <c r="H8" i="15"/>
  <c r="G8" i="15"/>
  <c r="L7" i="15"/>
  <c r="K7" i="15"/>
  <c r="J7" i="15"/>
  <c r="I7" i="15"/>
  <c r="H7" i="15"/>
  <c r="G7" i="15"/>
  <c r="L102" i="14"/>
  <c r="O78" i="14"/>
  <c r="M76" i="14"/>
  <c r="L76" i="14"/>
  <c r="K76" i="14"/>
  <c r="J76" i="14"/>
  <c r="I76" i="14"/>
  <c r="H76" i="14"/>
  <c r="G76" i="14"/>
  <c r="C75" i="14"/>
  <c r="B75" i="14"/>
  <c r="M56" i="14"/>
  <c r="L56" i="14"/>
  <c r="K56" i="14"/>
  <c r="J56" i="14"/>
  <c r="I56" i="14"/>
  <c r="H56" i="14"/>
  <c r="G56" i="14"/>
  <c r="C50" i="14"/>
  <c r="C70" i="14" s="1"/>
  <c r="C90" i="14" s="1"/>
  <c r="B38" i="14"/>
  <c r="B58" i="14" s="1"/>
  <c r="B78" i="14" s="1"/>
  <c r="C36" i="14"/>
  <c r="C56" i="14" s="1"/>
  <c r="C76" i="14" s="1"/>
  <c r="B36" i="14"/>
  <c r="B56" i="14" s="1"/>
  <c r="B76" i="14" s="1"/>
  <c r="M30" i="14"/>
  <c r="M70" i="14" s="1"/>
  <c r="L30" i="14"/>
  <c r="L70" i="14" s="1"/>
  <c r="K30" i="14"/>
  <c r="K70" i="14" s="1"/>
  <c r="J30" i="14"/>
  <c r="J70" i="14" s="1"/>
  <c r="I30" i="14"/>
  <c r="I70" i="14" s="1"/>
  <c r="H30" i="14"/>
  <c r="H70" i="14" s="1"/>
  <c r="G30" i="14"/>
  <c r="G70" i="14" s="1"/>
  <c r="M29" i="14"/>
  <c r="M69" i="14" s="1"/>
  <c r="K29" i="14"/>
  <c r="K69" i="14" s="1"/>
  <c r="J29" i="14"/>
  <c r="J69" i="14" s="1"/>
  <c r="I29" i="14"/>
  <c r="I69" i="14" s="1"/>
  <c r="H29" i="14"/>
  <c r="H69" i="14" s="1"/>
  <c r="G29" i="14"/>
  <c r="E29" i="14"/>
  <c r="M28" i="14"/>
  <c r="M68" i="14" s="1"/>
  <c r="J28" i="14"/>
  <c r="J68" i="14" s="1"/>
  <c r="I28" i="14"/>
  <c r="I68" i="14" s="1"/>
  <c r="H28" i="14"/>
  <c r="H68" i="14" s="1"/>
  <c r="G28" i="14"/>
  <c r="E28" i="14"/>
  <c r="M27" i="14"/>
  <c r="M67" i="14" s="1"/>
  <c r="I27" i="14"/>
  <c r="I67" i="14" s="1"/>
  <c r="H27" i="14"/>
  <c r="H67" i="14" s="1"/>
  <c r="G27" i="14"/>
  <c r="E27" i="14"/>
  <c r="M26" i="14"/>
  <c r="M66" i="14" s="1"/>
  <c r="H26" i="14"/>
  <c r="H66" i="14" s="1"/>
  <c r="G26" i="14"/>
  <c r="E26" i="14"/>
  <c r="M25" i="14"/>
  <c r="M65" i="14" s="1"/>
  <c r="G25" i="14"/>
  <c r="E25" i="14"/>
  <c r="M16" i="14"/>
  <c r="L16" i="14"/>
  <c r="K16" i="14"/>
  <c r="J16" i="14"/>
  <c r="I16" i="14"/>
  <c r="H16" i="14"/>
  <c r="G16" i="14"/>
  <c r="L9" i="14"/>
  <c r="K9" i="14"/>
  <c r="J9" i="14"/>
  <c r="I9" i="14"/>
  <c r="H9" i="14"/>
  <c r="G9" i="14"/>
  <c r="E24" i="14" s="1"/>
  <c r="M8" i="14"/>
  <c r="M24" i="14" s="1"/>
  <c r="L8" i="14"/>
  <c r="L10" i="14" s="1"/>
  <c r="L18" i="14" s="1"/>
  <c r="K8" i="14"/>
  <c r="K10" i="14" s="1"/>
  <c r="K19" i="14" s="1"/>
  <c r="J8" i="14"/>
  <c r="J10" i="14" s="1"/>
  <c r="J20" i="14" s="1"/>
  <c r="I8" i="14"/>
  <c r="I10" i="14" s="1"/>
  <c r="I21" i="14" s="1"/>
  <c r="H8" i="14"/>
  <c r="H10" i="14" s="1"/>
  <c r="H22" i="14" s="1"/>
  <c r="G8" i="14"/>
  <c r="G10" i="14" s="1"/>
  <c r="G23" i="14" s="1"/>
  <c r="L7" i="14"/>
  <c r="K7" i="14"/>
  <c r="J7" i="14"/>
  <c r="I7" i="14"/>
  <c r="H7" i="14"/>
  <c r="G7" i="14"/>
  <c r="G3" i="12"/>
  <c r="G4" i="12"/>
  <c r="G5" i="12"/>
  <c r="G2" i="12"/>
  <c r="M60" i="13"/>
  <c r="K58" i="13"/>
  <c r="J58" i="13"/>
  <c r="I58" i="13"/>
  <c r="H58" i="13"/>
  <c r="G58" i="13"/>
  <c r="C57" i="13"/>
  <c r="B57" i="13"/>
  <c r="C39" i="13"/>
  <c r="C52" i="13" s="1"/>
  <c r="C65" i="13" s="1"/>
  <c r="B34" i="13"/>
  <c r="B47" i="13" s="1"/>
  <c r="B60" i="13" s="1"/>
  <c r="C32" i="13"/>
  <c r="C45" i="13" s="1"/>
  <c r="C58" i="13" s="1"/>
  <c r="B32" i="13"/>
  <c r="B45" i="13" s="1"/>
  <c r="B58" i="13" s="1"/>
  <c r="K19" i="13"/>
  <c r="K45" i="13" s="1"/>
  <c r="J19" i="13"/>
  <c r="J45" i="13" s="1"/>
  <c r="I19" i="13"/>
  <c r="I45" i="13" s="1"/>
  <c r="H19" i="13"/>
  <c r="H45" i="13" s="1"/>
  <c r="G19" i="13"/>
  <c r="G45" i="13" s="1"/>
  <c r="K8" i="13"/>
  <c r="J8" i="13"/>
  <c r="I8" i="13"/>
  <c r="H8" i="13"/>
  <c r="G8" i="13"/>
  <c r="J7" i="13"/>
  <c r="I7" i="13"/>
  <c r="H7" i="13"/>
  <c r="G7" i="13"/>
  <c r="N5" i="12"/>
  <c r="N4" i="12"/>
  <c r="N3" i="12"/>
  <c r="N2" i="12"/>
  <c r="E25" i="11"/>
  <c r="E24" i="11"/>
  <c r="E23" i="11"/>
  <c r="E22" i="11"/>
  <c r="H12" i="11"/>
  <c r="I12" i="11"/>
  <c r="J12" i="11"/>
  <c r="G12" i="11"/>
  <c r="J11" i="11"/>
  <c r="I11" i="11"/>
  <c r="H11" i="11"/>
  <c r="G11" i="11"/>
  <c r="G3" i="10"/>
  <c r="G4" i="10"/>
  <c r="G5" i="10"/>
  <c r="G2" i="10"/>
  <c r="E3" i="10"/>
  <c r="E4" i="10"/>
  <c r="E5" i="10"/>
  <c r="E2" i="10"/>
  <c r="G9" i="11" s="1"/>
  <c r="N5" i="10"/>
  <c r="N3" i="10"/>
  <c r="N4" i="10"/>
  <c r="N2" i="10"/>
  <c r="M60" i="11"/>
  <c r="K58" i="11"/>
  <c r="J58" i="11"/>
  <c r="I58" i="11"/>
  <c r="H58" i="11"/>
  <c r="G58" i="11"/>
  <c r="C57" i="11"/>
  <c r="B57" i="11"/>
  <c r="K45" i="11"/>
  <c r="J45" i="11"/>
  <c r="I45" i="11"/>
  <c r="H45" i="11"/>
  <c r="G45" i="11"/>
  <c r="C39" i="11"/>
  <c r="C52" i="11" s="1"/>
  <c r="C65" i="11" s="1"/>
  <c r="B34" i="11"/>
  <c r="B47" i="11" s="1"/>
  <c r="B60" i="11" s="1"/>
  <c r="C32" i="11"/>
  <c r="C45" i="11" s="1"/>
  <c r="C58" i="11" s="1"/>
  <c r="B32" i="11"/>
  <c r="B45" i="11" s="1"/>
  <c r="B58" i="11" s="1"/>
  <c r="K19" i="11"/>
  <c r="J19" i="11"/>
  <c r="I19" i="11"/>
  <c r="H19" i="11"/>
  <c r="G19" i="11"/>
  <c r="K8" i="11"/>
  <c r="J8" i="11"/>
  <c r="I8" i="11"/>
  <c r="H8" i="11"/>
  <c r="G8" i="11"/>
  <c r="J7" i="11"/>
  <c r="I7" i="11"/>
  <c r="H7" i="11"/>
  <c r="G7" i="11"/>
  <c r="J9" i="11"/>
  <c r="I9" i="11"/>
  <c r="H9" i="11"/>
  <c r="H73" i="5"/>
  <c r="I73" i="5"/>
  <c r="J73" i="5"/>
  <c r="K73" i="5"/>
  <c r="L73" i="5"/>
  <c r="M73" i="5"/>
  <c r="G73" i="5"/>
  <c r="V61" i="5"/>
  <c r="V62" i="5"/>
  <c r="V63" i="5"/>
  <c r="V64" i="5"/>
  <c r="V65" i="5"/>
  <c r="V66" i="5"/>
  <c r="V60" i="5"/>
  <c r="H88" i="7"/>
  <c r="I88" i="7"/>
  <c r="J88" i="7"/>
  <c r="K88" i="7"/>
  <c r="G88" i="7"/>
  <c r="T73" i="7"/>
  <c r="T74" i="7"/>
  <c r="T75" i="7"/>
  <c r="T76" i="7"/>
  <c r="T77" i="7"/>
  <c r="T78" i="7"/>
  <c r="T79" i="7"/>
  <c r="T80" i="7"/>
  <c r="T81" i="7"/>
  <c r="T72" i="7"/>
  <c r="H97" i="2"/>
  <c r="I97" i="2"/>
  <c r="J97" i="2"/>
  <c r="K97" i="2"/>
  <c r="L97" i="2"/>
  <c r="M97" i="2"/>
  <c r="G97" i="2"/>
  <c r="V79" i="2"/>
  <c r="V80" i="2"/>
  <c r="V81" i="2"/>
  <c r="V82" i="2"/>
  <c r="V83" i="2"/>
  <c r="V84" i="2"/>
  <c r="V85" i="2"/>
  <c r="V86" i="2"/>
  <c r="V87" i="2"/>
  <c r="V88" i="2"/>
  <c r="V89" i="2"/>
  <c r="V90" i="2"/>
  <c r="V78" i="2"/>
  <c r="E3" i="8"/>
  <c r="E4" i="8"/>
  <c r="E5" i="8"/>
  <c r="E2" i="8"/>
  <c r="G9" i="9" s="1"/>
  <c r="E19" i="9" s="1"/>
  <c r="M57" i="9"/>
  <c r="K55" i="9"/>
  <c r="J55" i="9"/>
  <c r="I55" i="9"/>
  <c r="H55" i="9"/>
  <c r="G55" i="9"/>
  <c r="C54" i="9"/>
  <c r="B54" i="9"/>
  <c r="B31" i="9"/>
  <c r="B44" i="9" s="1"/>
  <c r="B57" i="9" s="1"/>
  <c r="C29" i="9"/>
  <c r="C42" i="9" s="1"/>
  <c r="C55" i="9" s="1"/>
  <c r="B29" i="9"/>
  <c r="B42" i="9" s="1"/>
  <c r="B55" i="9" s="1"/>
  <c r="K16" i="9"/>
  <c r="K42" i="9" s="1"/>
  <c r="J16" i="9"/>
  <c r="J42" i="9" s="1"/>
  <c r="I16" i="9"/>
  <c r="I42" i="9" s="1"/>
  <c r="H16" i="9"/>
  <c r="H42" i="9" s="1"/>
  <c r="G16" i="9"/>
  <c r="G42" i="9" s="1"/>
  <c r="J9" i="9"/>
  <c r="E22" i="9" s="1"/>
  <c r="I9" i="9"/>
  <c r="E21" i="9" s="1"/>
  <c r="H9" i="9"/>
  <c r="E20" i="9" s="1"/>
  <c r="K8" i="9"/>
  <c r="J8" i="9"/>
  <c r="I8" i="9"/>
  <c r="I22" i="9" s="1"/>
  <c r="H8" i="9"/>
  <c r="H22" i="9" s="1"/>
  <c r="G8" i="9"/>
  <c r="G20" i="9" s="1"/>
  <c r="J7" i="9"/>
  <c r="I7" i="9"/>
  <c r="H7" i="9"/>
  <c r="G7" i="9"/>
  <c r="B78" i="7"/>
  <c r="Q78" i="7" s="1"/>
  <c r="C78" i="7"/>
  <c r="B79" i="7"/>
  <c r="Q79" i="7" s="1"/>
  <c r="C79" i="7"/>
  <c r="B80" i="7"/>
  <c r="C80" i="7"/>
  <c r="Q80" i="7"/>
  <c r="B81" i="7"/>
  <c r="C81" i="7"/>
  <c r="Q81" i="7"/>
  <c r="C47" i="7"/>
  <c r="C64" i="7" s="1"/>
  <c r="J11" i="7"/>
  <c r="I11" i="7"/>
  <c r="H11" i="7"/>
  <c r="G11" i="7"/>
  <c r="E66" i="5"/>
  <c r="M72" i="7"/>
  <c r="K70" i="7"/>
  <c r="J70" i="7"/>
  <c r="I70" i="7"/>
  <c r="H70" i="7"/>
  <c r="G70" i="7"/>
  <c r="C69" i="7"/>
  <c r="B69" i="7"/>
  <c r="B38" i="7"/>
  <c r="B55" i="7" s="1"/>
  <c r="B72" i="7" s="1"/>
  <c r="C36" i="7"/>
  <c r="C53" i="7" s="1"/>
  <c r="C70" i="7" s="1"/>
  <c r="B36" i="7"/>
  <c r="B53" i="7" s="1"/>
  <c r="B70" i="7" s="1"/>
  <c r="K19" i="7"/>
  <c r="K53" i="7" s="1"/>
  <c r="J19" i="7"/>
  <c r="J53" i="7" s="1"/>
  <c r="I19" i="7"/>
  <c r="I53" i="7" s="1"/>
  <c r="H19" i="7"/>
  <c r="H53" i="7" s="1"/>
  <c r="G19" i="7"/>
  <c r="G53" i="7" s="1"/>
  <c r="J9" i="7"/>
  <c r="I9" i="7"/>
  <c r="H9" i="7"/>
  <c r="G9" i="7"/>
  <c r="K8" i="7"/>
  <c r="K30" i="7" s="1"/>
  <c r="K64" i="7" s="1"/>
  <c r="J8" i="7"/>
  <c r="J30" i="7" s="1"/>
  <c r="J64" i="7" s="1"/>
  <c r="I8" i="7"/>
  <c r="I30" i="7" s="1"/>
  <c r="I64" i="7" s="1"/>
  <c r="H8" i="7"/>
  <c r="H30" i="7" s="1"/>
  <c r="H64" i="7" s="1"/>
  <c r="G8" i="7"/>
  <c r="G30" i="7" s="1"/>
  <c r="G64" i="7" s="1"/>
  <c r="J7" i="7"/>
  <c r="I7" i="7"/>
  <c r="H7" i="7"/>
  <c r="G7" i="7"/>
  <c r="O60" i="5"/>
  <c r="M58" i="5"/>
  <c r="L58" i="5"/>
  <c r="K58" i="5"/>
  <c r="J58" i="5"/>
  <c r="I58" i="5"/>
  <c r="H58" i="5"/>
  <c r="G58" i="5"/>
  <c r="C57" i="5"/>
  <c r="B57" i="5"/>
  <c r="B32" i="5"/>
  <c r="B46" i="5" s="1"/>
  <c r="B60" i="5" s="1"/>
  <c r="C30" i="5"/>
  <c r="C44" i="5" s="1"/>
  <c r="C58" i="5" s="1"/>
  <c r="B30" i="5"/>
  <c r="B44" i="5" s="1"/>
  <c r="B58" i="5" s="1"/>
  <c r="M16" i="5"/>
  <c r="M44" i="5" s="1"/>
  <c r="L16" i="5"/>
  <c r="L44" i="5" s="1"/>
  <c r="K16" i="5"/>
  <c r="K44" i="5" s="1"/>
  <c r="J16" i="5"/>
  <c r="J44" i="5" s="1"/>
  <c r="I16" i="5"/>
  <c r="I44" i="5" s="1"/>
  <c r="H16" i="5"/>
  <c r="H44" i="5" s="1"/>
  <c r="G16" i="5"/>
  <c r="G44" i="5" s="1"/>
  <c r="L9" i="5"/>
  <c r="K9" i="5"/>
  <c r="J9" i="5"/>
  <c r="I9" i="5"/>
  <c r="H9" i="5"/>
  <c r="G9" i="5"/>
  <c r="M8" i="5"/>
  <c r="L8" i="5"/>
  <c r="L24" i="5" s="1"/>
  <c r="K8" i="5"/>
  <c r="K24" i="5" s="1"/>
  <c r="J8" i="5"/>
  <c r="J24" i="5" s="1"/>
  <c r="I8" i="5"/>
  <c r="I24" i="5" s="1"/>
  <c r="H8" i="5"/>
  <c r="H24" i="5" s="1"/>
  <c r="G8" i="5"/>
  <c r="G24" i="5" s="1"/>
  <c r="L7" i="5"/>
  <c r="K7" i="5"/>
  <c r="J7" i="5"/>
  <c r="I7" i="5"/>
  <c r="H7" i="5"/>
  <c r="G7" i="5"/>
  <c r="O78" i="2"/>
  <c r="H76" i="2"/>
  <c r="I76" i="2"/>
  <c r="J76" i="2"/>
  <c r="K76" i="2"/>
  <c r="L76" i="2"/>
  <c r="M76" i="2"/>
  <c r="G76" i="2"/>
  <c r="C75" i="2"/>
  <c r="C76" i="2"/>
  <c r="C90" i="2"/>
  <c r="B76" i="2"/>
  <c r="B78" i="2"/>
  <c r="B75" i="2"/>
  <c r="B38" i="2"/>
  <c r="B58" i="2" s="1"/>
  <c r="C50" i="2"/>
  <c r="C70" i="2" s="1"/>
  <c r="C36" i="2"/>
  <c r="C56" i="2" s="1"/>
  <c r="B36" i="2"/>
  <c r="B56" i="2" s="1"/>
  <c r="H16" i="2"/>
  <c r="H56" i="2" s="1"/>
  <c r="I16" i="2"/>
  <c r="I56" i="2" s="1"/>
  <c r="J16" i="2"/>
  <c r="J56" i="2" s="1"/>
  <c r="K16" i="2"/>
  <c r="K56" i="2" s="1"/>
  <c r="L16" i="2"/>
  <c r="L56" i="2" s="1"/>
  <c r="M16" i="2"/>
  <c r="M56" i="2" s="1"/>
  <c r="G16" i="2"/>
  <c r="G56" i="2" s="1"/>
  <c r="L7" i="2"/>
  <c r="K7" i="2"/>
  <c r="J7" i="2"/>
  <c r="I7" i="2"/>
  <c r="H7" i="2"/>
  <c r="G7" i="2"/>
  <c r="L9" i="2"/>
  <c r="E29" i="2" s="1"/>
  <c r="K9" i="2"/>
  <c r="E28" i="2" s="1"/>
  <c r="J9" i="2"/>
  <c r="E27" i="2" s="1"/>
  <c r="I9" i="2"/>
  <c r="E26" i="2" s="1"/>
  <c r="H9" i="2"/>
  <c r="E25" i="2" s="1"/>
  <c r="G9" i="2"/>
  <c r="E24" i="2" s="1"/>
  <c r="M8" i="2"/>
  <c r="L8" i="2"/>
  <c r="K8" i="2"/>
  <c r="J8" i="2"/>
  <c r="I8" i="2"/>
  <c r="H8" i="2"/>
  <c r="G8" i="2"/>
  <c r="L24" i="15" l="1"/>
  <c r="L10" i="15"/>
  <c r="L18" i="15" s="1"/>
  <c r="K24" i="15"/>
  <c r="K10" i="15"/>
  <c r="K19" i="15" s="1"/>
  <c r="J24" i="15"/>
  <c r="J10" i="15"/>
  <c r="J20" i="15" s="1"/>
  <c r="I24" i="15"/>
  <c r="I10" i="15"/>
  <c r="I21" i="15" s="1"/>
  <c r="H24" i="15"/>
  <c r="H52" i="15" s="1"/>
  <c r="H10" i="15"/>
  <c r="H22" i="15" s="1"/>
  <c r="G10" i="15"/>
  <c r="G23" i="15" s="1"/>
  <c r="G24" i="15"/>
  <c r="L69" i="14"/>
  <c r="G69" i="14"/>
  <c r="E69" i="14" s="1"/>
  <c r="L68" i="14"/>
  <c r="K68" i="14"/>
  <c r="G68" i="14"/>
  <c r="E68" i="14" s="1"/>
  <c r="L67" i="14"/>
  <c r="G67" i="14"/>
  <c r="J67" i="14"/>
  <c r="K67" i="14"/>
  <c r="L66" i="14"/>
  <c r="K66" i="14"/>
  <c r="J66" i="14"/>
  <c r="I66" i="14"/>
  <c r="G66" i="14"/>
  <c r="E66" i="14" s="1"/>
  <c r="L65" i="14"/>
  <c r="K65" i="14"/>
  <c r="J65" i="14"/>
  <c r="H65" i="14"/>
  <c r="G65" i="14"/>
  <c r="I65" i="14"/>
  <c r="G64" i="14"/>
  <c r="H64" i="14"/>
  <c r="I64" i="14"/>
  <c r="J64" i="14"/>
  <c r="K64" i="14"/>
  <c r="L64" i="14"/>
  <c r="M64" i="14"/>
  <c r="G58" i="14"/>
  <c r="H58" i="14"/>
  <c r="J58" i="14"/>
  <c r="K58" i="14"/>
  <c r="L58" i="14"/>
  <c r="I58" i="14"/>
  <c r="M58" i="14"/>
  <c r="C18" i="14"/>
  <c r="G59" i="14"/>
  <c r="H59" i="14"/>
  <c r="J59" i="14"/>
  <c r="K59" i="14"/>
  <c r="M59" i="14"/>
  <c r="I59" i="14"/>
  <c r="L59" i="14"/>
  <c r="G60" i="14"/>
  <c r="I60" i="14"/>
  <c r="K60" i="14"/>
  <c r="M60" i="14"/>
  <c r="H60" i="14"/>
  <c r="J60" i="14"/>
  <c r="L60" i="14"/>
  <c r="H61" i="14"/>
  <c r="J61" i="14"/>
  <c r="K61" i="14"/>
  <c r="M61" i="14"/>
  <c r="G61" i="14"/>
  <c r="E61" i="14" s="1"/>
  <c r="I61" i="14"/>
  <c r="L61" i="14"/>
  <c r="J62" i="14"/>
  <c r="K62" i="14"/>
  <c r="L62" i="14"/>
  <c r="M62" i="14"/>
  <c r="I62" i="14"/>
  <c r="G62" i="14"/>
  <c r="E62" i="14" s="1"/>
  <c r="H62" i="14"/>
  <c r="G63" i="14"/>
  <c r="H63" i="14"/>
  <c r="I63" i="14"/>
  <c r="J63" i="14"/>
  <c r="K63" i="14"/>
  <c r="L63" i="14"/>
  <c r="M63" i="14"/>
  <c r="E70" i="14"/>
  <c r="K25" i="13"/>
  <c r="K23" i="13"/>
  <c r="K24" i="13"/>
  <c r="K22" i="13"/>
  <c r="K26" i="13"/>
  <c r="J26" i="13"/>
  <c r="I26" i="13"/>
  <c r="I52" i="13" s="1"/>
  <c r="I25" i="13"/>
  <c r="H25" i="13"/>
  <c r="H26" i="13"/>
  <c r="H24" i="13"/>
  <c r="G24" i="13"/>
  <c r="G23" i="13"/>
  <c r="G26" i="13"/>
  <c r="G52" i="13" s="1"/>
  <c r="G25" i="13"/>
  <c r="J11" i="13"/>
  <c r="E5" i="12"/>
  <c r="J9" i="13" s="1"/>
  <c r="J10" i="13" s="1"/>
  <c r="J21" i="13" s="1"/>
  <c r="E4" i="12"/>
  <c r="I9" i="13" s="1"/>
  <c r="I10" i="13" s="1"/>
  <c r="I21" i="13" s="1"/>
  <c r="I11" i="13"/>
  <c r="H11" i="13"/>
  <c r="E3" i="12"/>
  <c r="H9" i="13" s="1"/>
  <c r="H10" i="13" s="1"/>
  <c r="H21" i="13" s="1"/>
  <c r="G11" i="13"/>
  <c r="E2" i="12"/>
  <c r="G9" i="13" s="1"/>
  <c r="K26" i="11"/>
  <c r="K25" i="11"/>
  <c r="K24" i="11"/>
  <c r="K23" i="11"/>
  <c r="K22" i="11"/>
  <c r="J10" i="11"/>
  <c r="J21" i="11" s="1"/>
  <c r="J26" i="11"/>
  <c r="I10" i="11"/>
  <c r="I21" i="11" s="1"/>
  <c r="I26" i="11"/>
  <c r="I25" i="11"/>
  <c r="H25" i="11"/>
  <c r="H24" i="11"/>
  <c r="H10" i="11"/>
  <c r="H21" i="11" s="1"/>
  <c r="H26" i="11"/>
  <c r="G24" i="11"/>
  <c r="G23" i="11"/>
  <c r="G10" i="11"/>
  <c r="G21" i="11" s="1"/>
  <c r="G25" i="11"/>
  <c r="G26" i="11"/>
  <c r="K23" i="9"/>
  <c r="J23" i="9"/>
  <c r="I23" i="9"/>
  <c r="H23" i="9"/>
  <c r="G23" i="9"/>
  <c r="K19" i="9"/>
  <c r="K22" i="9"/>
  <c r="K20" i="9"/>
  <c r="K21" i="9"/>
  <c r="J10" i="9"/>
  <c r="J18" i="9" s="1"/>
  <c r="I10" i="9"/>
  <c r="I18" i="9" s="1"/>
  <c r="H21" i="9"/>
  <c r="H10" i="9"/>
  <c r="H18" i="9" s="1"/>
  <c r="G22" i="9"/>
  <c r="G49" i="9"/>
  <c r="G21" i="9"/>
  <c r="G47" i="9" s="1"/>
  <c r="G10" i="9"/>
  <c r="G18" i="9" s="1"/>
  <c r="O78" i="7"/>
  <c r="M78" i="7" s="1"/>
  <c r="R78" i="7"/>
  <c r="P78" i="7" s="1"/>
  <c r="O79" i="7"/>
  <c r="R79" i="7"/>
  <c r="P79" i="7" s="1"/>
  <c r="R80" i="7"/>
  <c r="P80" i="7" s="1"/>
  <c r="O80" i="7"/>
  <c r="O81" i="7"/>
  <c r="M81" i="7" s="1"/>
  <c r="E81" i="7" s="1"/>
  <c r="R81" i="7"/>
  <c r="P81" i="7" s="1"/>
  <c r="E64" i="7"/>
  <c r="K22" i="7"/>
  <c r="K29" i="7"/>
  <c r="K25" i="7"/>
  <c r="K24" i="7"/>
  <c r="K23" i="7"/>
  <c r="K28" i="7"/>
  <c r="K26" i="7"/>
  <c r="K27" i="7"/>
  <c r="J22" i="7"/>
  <c r="J26" i="7"/>
  <c r="J28" i="7"/>
  <c r="J25" i="7"/>
  <c r="J27" i="7"/>
  <c r="J24" i="7"/>
  <c r="J23" i="7"/>
  <c r="I22" i="7"/>
  <c r="I28" i="7"/>
  <c r="I23" i="7"/>
  <c r="I29" i="7"/>
  <c r="I26" i="7"/>
  <c r="I24" i="7"/>
  <c r="I25" i="7"/>
  <c r="H22" i="7"/>
  <c r="H27" i="7"/>
  <c r="H24" i="7"/>
  <c r="H28" i="7"/>
  <c r="H26" i="7"/>
  <c r="H23" i="7"/>
  <c r="H29" i="7"/>
  <c r="G22" i="7"/>
  <c r="G29" i="7"/>
  <c r="G28" i="7"/>
  <c r="G27" i="7"/>
  <c r="G26" i="7"/>
  <c r="G25" i="7"/>
  <c r="G24" i="7"/>
  <c r="J13" i="7"/>
  <c r="E29" i="7" s="1"/>
  <c r="J12" i="7"/>
  <c r="E28" i="7" s="1"/>
  <c r="I12" i="7"/>
  <c r="E26" i="7" s="1"/>
  <c r="I13" i="7"/>
  <c r="E27" i="7" s="1"/>
  <c r="H13" i="7"/>
  <c r="E25" i="7" s="1"/>
  <c r="H12" i="7"/>
  <c r="E24" i="7" s="1"/>
  <c r="G13" i="7"/>
  <c r="E23" i="7" s="1"/>
  <c r="G12" i="7"/>
  <c r="E22" i="7" s="1"/>
  <c r="K66" i="5"/>
  <c r="M66" i="5"/>
  <c r="L66" i="5"/>
  <c r="J66" i="5"/>
  <c r="I66" i="5"/>
  <c r="H66" i="5"/>
  <c r="G66" i="5"/>
  <c r="J10" i="7"/>
  <c r="J21" i="7" s="1"/>
  <c r="I10" i="7"/>
  <c r="I21" i="7" s="1"/>
  <c r="H10" i="7"/>
  <c r="H21" i="7" s="1"/>
  <c r="G10" i="7"/>
  <c r="G21" i="7" s="1"/>
  <c r="M24" i="5"/>
  <c r="L10" i="5"/>
  <c r="L18" i="5" s="1"/>
  <c r="K10" i="5"/>
  <c r="K19" i="5" s="1"/>
  <c r="J10" i="5"/>
  <c r="J20" i="5" s="1"/>
  <c r="I10" i="5"/>
  <c r="I21" i="5" s="1"/>
  <c r="H10" i="5"/>
  <c r="H22" i="5" s="1"/>
  <c r="G10" i="5"/>
  <c r="G23" i="5" s="1"/>
  <c r="M30" i="2"/>
  <c r="M25" i="2"/>
  <c r="M24" i="2"/>
  <c r="M29" i="2"/>
  <c r="M26" i="2"/>
  <c r="M27" i="2"/>
  <c r="M28" i="2"/>
  <c r="L30" i="2"/>
  <c r="L10" i="2"/>
  <c r="L18" i="2" s="1"/>
  <c r="K10" i="2"/>
  <c r="K19" i="2" s="1"/>
  <c r="K29" i="2"/>
  <c r="K30" i="2"/>
  <c r="J30" i="2"/>
  <c r="J28" i="2"/>
  <c r="J10" i="2"/>
  <c r="J20" i="2" s="1"/>
  <c r="J29" i="2"/>
  <c r="I30" i="2"/>
  <c r="I28" i="2"/>
  <c r="I27" i="2"/>
  <c r="I10" i="2"/>
  <c r="I21" i="2" s="1"/>
  <c r="I29" i="2"/>
  <c r="H26" i="2"/>
  <c r="H28" i="2"/>
  <c r="H29" i="2"/>
  <c r="H27" i="2"/>
  <c r="H10" i="2"/>
  <c r="H22" i="2" s="1"/>
  <c r="H30" i="2"/>
  <c r="G25" i="2"/>
  <c r="G28" i="2"/>
  <c r="G29" i="2"/>
  <c r="G27" i="2"/>
  <c r="G30" i="2"/>
  <c r="G10" i="2"/>
  <c r="G23" i="2" s="1"/>
  <c r="G26" i="2"/>
  <c r="H46" i="15" l="1"/>
  <c r="K46" i="15"/>
  <c r="I46" i="15"/>
  <c r="M46" i="15"/>
  <c r="C18" i="15"/>
  <c r="G46" i="15"/>
  <c r="J46" i="15"/>
  <c r="L46" i="15"/>
  <c r="H47" i="15"/>
  <c r="M47" i="15"/>
  <c r="I47" i="15"/>
  <c r="L47" i="15"/>
  <c r="G47" i="15"/>
  <c r="J47" i="15"/>
  <c r="K47" i="15"/>
  <c r="H48" i="15"/>
  <c r="K48" i="15"/>
  <c r="I48" i="15"/>
  <c r="J48" i="15"/>
  <c r="M48" i="15"/>
  <c r="G48" i="15"/>
  <c r="E48" i="15" s="1"/>
  <c r="L48" i="15"/>
  <c r="H49" i="15"/>
  <c r="K49" i="15"/>
  <c r="G49" i="15"/>
  <c r="I49" i="15"/>
  <c r="M49" i="15"/>
  <c r="J49" i="15"/>
  <c r="L49" i="15"/>
  <c r="H50" i="15"/>
  <c r="L50" i="15"/>
  <c r="J50" i="15"/>
  <c r="I50" i="15"/>
  <c r="M50" i="15"/>
  <c r="G50" i="15"/>
  <c r="E50" i="15" s="1"/>
  <c r="K50" i="15"/>
  <c r="G51" i="15"/>
  <c r="K51" i="15"/>
  <c r="H51" i="15"/>
  <c r="J51" i="15"/>
  <c r="M51" i="15"/>
  <c r="I51" i="15"/>
  <c r="L51" i="15"/>
  <c r="M52" i="15"/>
  <c r="G52" i="15"/>
  <c r="L52" i="15"/>
  <c r="K52" i="15"/>
  <c r="J52" i="15"/>
  <c r="I52" i="15"/>
  <c r="E58" i="14"/>
  <c r="B19" i="14"/>
  <c r="C38" i="14"/>
  <c r="E63" i="14"/>
  <c r="E67" i="14"/>
  <c r="E65" i="14"/>
  <c r="E64" i="14"/>
  <c r="E59" i="14"/>
  <c r="E60" i="14"/>
  <c r="H48" i="13"/>
  <c r="K48" i="13"/>
  <c r="I48" i="13"/>
  <c r="G48" i="13"/>
  <c r="J48" i="13"/>
  <c r="I50" i="13"/>
  <c r="G50" i="13"/>
  <c r="J50" i="13"/>
  <c r="G49" i="13"/>
  <c r="J49" i="13"/>
  <c r="I49" i="13"/>
  <c r="H49" i="13"/>
  <c r="J51" i="13"/>
  <c r="G51" i="13"/>
  <c r="K51" i="13"/>
  <c r="K49" i="13"/>
  <c r="K50" i="13"/>
  <c r="K52" i="13"/>
  <c r="J52" i="13"/>
  <c r="I51" i="13"/>
  <c r="H51" i="13"/>
  <c r="H52" i="13"/>
  <c r="E52" i="13" s="1"/>
  <c r="H50" i="13"/>
  <c r="I12" i="13"/>
  <c r="E24" i="13" s="1"/>
  <c r="H12" i="13"/>
  <c r="E23" i="13" s="1"/>
  <c r="J12" i="13"/>
  <c r="E25" i="13" s="1"/>
  <c r="G12" i="13"/>
  <c r="E22" i="13" s="1"/>
  <c r="G10" i="13"/>
  <c r="G21" i="13" s="1"/>
  <c r="G48" i="11"/>
  <c r="J48" i="11"/>
  <c r="K48" i="11"/>
  <c r="I48" i="11"/>
  <c r="H48" i="11"/>
  <c r="G50" i="11"/>
  <c r="I50" i="11"/>
  <c r="J50" i="11"/>
  <c r="G49" i="11"/>
  <c r="I49" i="11"/>
  <c r="J49" i="11"/>
  <c r="H49" i="11"/>
  <c r="K47" i="11"/>
  <c r="G47" i="11"/>
  <c r="C21" i="11"/>
  <c r="K51" i="11"/>
  <c r="G51" i="11"/>
  <c r="J51" i="11"/>
  <c r="K52" i="11"/>
  <c r="G52" i="11"/>
  <c r="K50" i="11"/>
  <c r="J47" i="11"/>
  <c r="J52" i="11"/>
  <c r="I52" i="11"/>
  <c r="I51" i="11"/>
  <c r="H50" i="11"/>
  <c r="H47" i="11"/>
  <c r="K49" i="11"/>
  <c r="I47" i="11"/>
  <c r="H51" i="11"/>
  <c r="H52" i="11"/>
  <c r="I44" i="9"/>
  <c r="G45" i="9"/>
  <c r="I46" i="9"/>
  <c r="I45" i="9"/>
  <c r="G46" i="9"/>
  <c r="H46" i="9"/>
  <c r="G48" i="9"/>
  <c r="H48" i="9"/>
  <c r="G44" i="9"/>
  <c r="K44" i="9"/>
  <c r="C18" i="9"/>
  <c r="J45" i="9"/>
  <c r="J49" i="9"/>
  <c r="J47" i="9"/>
  <c r="I49" i="9"/>
  <c r="I47" i="9"/>
  <c r="I48" i="9"/>
  <c r="H45" i="9"/>
  <c r="H49" i="9"/>
  <c r="H47" i="9"/>
  <c r="H44" i="9"/>
  <c r="K49" i="9"/>
  <c r="K45" i="9"/>
  <c r="K48" i="9"/>
  <c r="K46" i="9"/>
  <c r="K47" i="9"/>
  <c r="J48" i="9"/>
  <c r="J46" i="9"/>
  <c r="J44" i="9"/>
  <c r="H81" i="7"/>
  <c r="G81" i="7"/>
  <c r="K81" i="7"/>
  <c r="I81" i="7"/>
  <c r="J81" i="7"/>
  <c r="M79" i="7"/>
  <c r="M80" i="7"/>
  <c r="E80" i="7" s="1"/>
  <c r="G61" i="7"/>
  <c r="I61" i="7"/>
  <c r="K61" i="7"/>
  <c r="H61" i="7"/>
  <c r="J61" i="7"/>
  <c r="G55" i="7"/>
  <c r="I55" i="7"/>
  <c r="J55" i="7"/>
  <c r="K55" i="7"/>
  <c r="H55" i="7"/>
  <c r="C21" i="7"/>
  <c r="I56" i="7"/>
  <c r="J56" i="7"/>
  <c r="H56" i="7"/>
  <c r="G56" i="7"/>
  <c r="E56" i="7" s="1"/>
  <c r="K56" i="7"/>
  <c r="J57" i="7"/>
  <c r="G57" i="7"/>
  <c r="I57" i="7"/>
  <c r="H57" i="7"/>
  <c r="K57" i="7"/>
  <c r="J58" i="7"/>
  <c r="I58" i="7"/>
  <c r="K58" i="7"/>
  <c r="G58" i="7"/>
  <c r="H58" i="7"/>
  <c r="G59" i="7"/>
  <c r="I59" i="7"/>
  <c r="J59" i="7"/>
  <c r="H59" i="7"/>
  <c r="K59" i="7"/>
  <c r="G63" i="7"/>
  <c r="J63" i="7"/>
  <c r="I63" i="7"/>
  <c r="I62" i="7"/>
  <c r="H62" i="7"/>
  <c r="G62" i="7"/>
  <c r="J62" i="7"/>
  <c r="I60" i="7"/>
  <c r="G60" i="7"/>
  <c r="H60" i="7"/>
  <c r="K60" i="7"/>
  <c r="J60" i="7"/>
  <c r="K62" i="7"/>
  <c r="K63" i="7"/>
  <c r="H63" i="7"/>
  <c r="I52" i="5"/>
  <c r="L52" i="5"/>
  <c r="H52" i="5"/>
  <c r="K52" i="5"/>
  <c r="G52" i="5"/>
  <c r="J52" i="5"/>
  <c r="M52" i="5"/>
  <c r="G46" i="5"/>
  <c r="K46" i="5"/>
  <c r="I46" i="5"/>
  <c r="L46" i="5"/>
  <c r="H46" i="5"/>
  <c r="M46" i="5"/>
  <c r="J46" i="5"/>
  <c r="C18" i="5"/>
  <c r="G47" i="5"/>
  <c r="J47" i="5"/>
  <c r="H47" i="5"/>
  <c r="K47" i="5"/>
  <c r="I47" i="5"/>
  <c r="L47" i="5"/>
  <c r="M47" i="5"/>
  <c r="G48" i="5"/>
  <c r="J48" i="5"/>
  <c r="M48" i="5"/>
  <c r="H48" i="5"/>
  <c r="K48" i="5"/>
  <c r="I48" i="5"/>
  <c r="L48" i="5"/>
  <c r="H49" i="5"/>
  <c r="K49" i="5"/>
  <c r="G49" i="5"/>
  <c r="I49" i="5"/>
  <c r="L49" i="5"/>
  <c r="J49" i="5"/>
  <c r="M49" i="5"/>
  <c r="G50" i="5"/>
  <c r="H50" i="5"/>
  <c r="K50" i="5"/>
  <c r="J50" i="5"/>
  <c r="L50" i="5"/>
  <c r="I50" i="5"/>
  <c r="M50" i="5"/>
  <c r="H51" i="5"/>
  <c r="L51" i="5"/>
  <c r="I51" i="5"/>
  <c r="K51" i="5"/>
  <c r="G51" i="5"/>
  <c r="E51" i="5" s="1"/>
  <c r="J51" i="5"/>
  <c r="M51" i="5"/>
  <c r="H66" i="2"/>
  <c r="H70" i="2"/>
  <c r="I67" i="2"/>
  <c r="M70" i="2"/>
  <c r="M66" i="2"/>
  <c r="L70" i="2"/>
  <c r="K69" i="2"/>
  <c r="K70" i="2"/>
  <c r="J70" i="2"/>
  <c r="I69" i="2"/>
  <c r="J69" i="2"/>
  <c r="I70" i="2"/>
  <c r="I68" i="2"/>
  <c r="H68" i="2"/>
  <c r="H69" i="2"/>
  <c r="H67" i="2"/>
  <c r="G70" i="2"/>
  <c r="E70" i="2" s="1"/>
  <c r="M65" i="2"/>
  <c r="M68" i="2"/>
  <c r="J68" i="2"/>
  <c r="M69" i="2"/>
  <c r="M67" i="2"/>
  <c r="K64" i="2"/>
  <c r="G64" i="2"/>
  <c r="E64" i="2" s="1"/>
  <c r="M64" i="2"/>
  <c r="H64" i="2"/>
  <c r="L64" i="2"/>
  <c r="J64" i="2"/>
  <c r="I64" i="2"/>
  <c r="C18" i="2"/>
  <c r="G58" i="2"/>
  <c r="E58" i="2" s="1"/>
  <c r="L58" i="2"/>
  <c r="J58" i="2"/>
  <c r="I58" i="2"/>
  <c r="M58" i="2"/>
  <c r="H58" i="2"/>
  <c r="K58" i="2"/>
  <c r="K59" i="2"/>
  <c r="M59" i="2"/>
  <c r="G59" i="2"/>
  <c r="J59" i="2"/>
  <c r="I59" i="2"/>
  <c r="H59" i="2"/>
  <c r="L59" i="2"/>
  <c r="H60" i="2"/>
  <c r="L60" i="2"/>
  <c r="I60" i="2"/>
  <c r="G60" i="2"/>
  <c r="E60" i="2" s="1"/>
  <c r="J60" i="2"/>
  <c r="M60" i="2"/>
  <c r="K60" i="2"/>
  <c r="H61" i="2"/>
  <c r="M61" i="2"/>
  <c r="J61" i="2"/>
  <c r="K61" i="2"/>
  <c r="I61" i="2"/>
  <c r="L61" i="2"/>
  <c r="G61" i="2"/>
  <c r="E61" i="2" s="1"/>
  <c r="I62" i="2"/>
  <c r="G62" i="2"/>
  <c r="E62" i="2" s="1"/>
  <c r="H62" i="2"/>
  <c r="J62" i="2"/>
  <c r="M62" i="2"/>
  <c r="K62" i="2"/>
  <c r="L62" i="2"/>
  <c r="H65" i="2"/>
  <c r="G65" i="2"/>
  <c r="E65" i="2" s="1"/>
  <c r="I65" i="2"/>
  <c r="K65" i="2"/>
  <c r="J65" i="2"/>
  <c r="L65" i="2"/>
  <c r="G68" i="2"/>
  <c r="E68" i="2" s="1"/>
  <c r="L68" i="2"/>
  <c r="K68" i="2"/>
  <c r="G69" i="2"/>
  <c r="E69" i="2" s="1"/>
  <c r="L69" i="2"/>
  <c r="K67" i="2"/>
  <c r="G67" i="2"/>
  <c r="E67" i="2" s="1"/>
  <c r="J67" i="2"/>
  <c r="L67" i="2"/>
  <c r="H63" i="2"/>
  <c r="K63" i="2"/>
  <c r="J63" i="2"/>
  <c r="M63" i="2"/>
  <c r="L63" i="2"/>
  <c r="G63" i="2"/>
  <c r="E63" i="2" s="1"/>
  <c r="I63" i="2"/>
  <c r="I66" i="2"/>
  <c r="G66" i="2"/>
  <c r="E66" i="2" s="1"/>
  <c r="K66" i="2"/>
  <c r="J66" i="2"/>
  <c r="L66" i="2"/>
  <c r="B19" i="15" l="1"/>
  <c r="C32" i="15"/>
  <c r="E46" i="15"/>
  <c r="E52" i="15"/>
  <c r="E49" i="15"/>
  <c r="E51" i="15"/>
  <c r="E47" i="15"/>
  <c r="C19" i="14"/>
  <c r="B39" i="14"/>
  <c r="B59" i="14" s="1"/>
  <c r="B79" i="14" s="1"/>
  <c r="S79" i="14" s="1"/>
  <c r="C58" i="14"/>
  <c r="C78" i="14" s="1"/>
  <c r="E38" i="14"/>
  <c r="K47" i="13"/>
  <c r="C21" i="13"/>
  <c r="G47" i="13"/>
  <c r="I47" i="13"/>
  <c r="H47" i="13"/>
  <c r="J47" i="13"/>
  <c r="E48" i="13"/>
  <c r="E50" i="13"/>
  <c r="E51" i="13"/>
  <c r="E49" i="13"/>
  <c r="E47" i="11"/>
  <c r="B22" i="11"/>
  <c r="C34" i="11"/>
  <c r="E48" i="11"/>
  <c r="E50" i="11"/>
  <c r="E49" i="11"/>
  <c r="E51" i="11"/>
  <c r="E52" i="11"/>
  <c r="E49" i="9"/>
  <c r="E45" i="9"/>
  <c r="E47" i="9"/>
  <c r="B19" i="9"/>
  <c r="C31" i="9"/>
  <c r="E46" i="9"/>
  <c r="E48" i="9"/>
  <c r="E44" i="9"/>
  <c r="E78" i="7"/>
  <c r="E79" i="7"/>
  <c r="H80" i="7"/>
  <c r="G80" i="7"/>
  <c r="K80" i="7"/>
  <c r="I80" i="7"/>
  <c r="J80" i="7"/>
  <c r="B22" i="7"/>
  <c r="C22" i="7" s="1"/>
  <c r="C38" i="7"/>
  <c r="E58" i="7"/>
  <c r="E59" i="7"/>
  <c r="E63" i="7"/>
  <c r="E62" i="7"/>
  <c r="E60" i="7"/>
  <c r="E55" i="7"/>
  <c r="E61" i="7"/>
  <c r="E57" i="7"/>
  <c r="C32" i="5"/>
  <c r="B19" i="5"/>
  <c r="E49" i="5"/>
  <c r="E50" i="5"/>
  <c r="E48" i="5"/>
  <c r="E52" i="5"/>
  <c r="E46" i="5"/>
  <c r="E47" i="5"/>
  <c r="E59" i="2"/>
  <c r="C38" i="2"/>
  <c r="B19" i="2"/>
  <c r="B33" i="15" l="1"/>
  <c r="B47" i="15" s="1"/>
  <c r="B61" i="15" s="1"/>
  <c r="S61" i="15" s="1"/>
  <c r="C19" i="15"/>
  <c r="E32" i="15"/>
  <c r="C46" i="15"/>
  <c r="C60" i="15" s="1"/>
  <c r="B20" i="14"/>
  <c r="C39" i="14"/>
  <c r="T79" i="14"/>
  <c r="R79" i="14" s="1"/>
  <c r="Q79" i="14"/>
  <c r="C34" i="13"/>
  <c r="B22" i="13"/>
  <c r="E47" i="13"/>
  <c r="C22" i="11"/>
  <c r="B35" i="11"/>
  <c r="B48" i="11" s="1"/>
  <c r="B61" i="11" s="1"/>
  <c r="Q61" i="11" s="1"/>
  <c r="E34" i="11"/>
  <c r="C47" i="11"/>
  <c r="C60" i="11" s="1"/>
  <c r="C19" i="9"/>
  <c r="B32" i="9"/>
  <c r="B45" i="9" s="1"/>
  <c r="B58" i="9" s="1"/>
  <c r="Q58" i="9" s="1"/>
  <c r="E31" i="9"/>
  <c r="C44" i="9"/>
  <c r="C57" i="9" s="1"/>
  <c r="I78" i="7"/>
  <c r="K78" i="7"/>
  <c r="G78" i="7"/>
  <c r="H78" i="7"/>
  <c r="J78" i="7"/>
  <c r="G79" i="7"/>
  <c r="J79" i="7"/>
  <c r="K79" i="7"/>
  <c r="H79" i="7"/>
  <c r="I79" i="7"/>
  <c r="B39" i="7"/>
  <c r="B56" i="7" s="1"/>
  <c r="B73" i="7" s="1"/>
  <c r="Q73" i="7" s="1"/>
  <c r="E38" i="7"/>
  <c r="C55" i="7"/>
  <c r="C72" i="7" s="1"/>
  <c r="E32" i="5"/>
  <c r="C46" i="5"/>
  <c r="C60" i="5" s="1"/>
  <c r="C19" i="5"/>
  <c r="B33" i="5"/>
  <c r="B47" i="5" s="1"/>
  <c r="B61" i="5" s="1"/>
  <c r="S61" i="5" s="1"/>
  <c r="C58" i="2"/>
  <c r="C78" i="2" s="1"/>
  <c r="E38" i="2"/>
  <c r="B39" i="2"/>
  <c r="B59" i="2" s="1"/>
  <c r="B79" i="2" s="1"/>
  <c r="S79" i="2" s="1"/>
  <c r="C19" i="2"/>
  <c r="Q61" i="15" l="1"/>
  <c r="T61" i="15"/>
  <c r="R61" i="15" s="1"/>
  <c r="C33" i="15"/>
  <c r="B20" i="15"/>
  <c r="C20" i="14"/>
  <c r="B40" i="14"/>
  <c r="B60" i="14" s="1"/>
  <c r="B80" i="14" s="1"/>
  <c r="S80" i="14" s="1"/>
  <c r="E39" i="14"/>
  <c r="C59" i="14"/>
  <c r="C79" i="14" s="1"/>
  <c r="V78" i="14"/>
  <c r="O79" i="14"/>
  <c r="C47" i="13"/>
  <c r="C60" i="13" s="1"/>
  <c r="E34" i="13"/>
  <c r="C22" i="13"/>
  <c r="B35" i="13"/>
  <c r="B48" i="13" s="1"/>
  <c r="B61" i="13" s="1"/>
  <c r="Q61" i="13" s="1"/>
  <c r="B23" i="11"/>
  <c r="C35" i="11"/>
  <c r="R61" i="11"/>
  <c r="P61" i="11" s="1"/>
  <c r="O61" i="11"/>
  <c r="B20" i="9"/>
  <c r="C32" i="9"/>
  <c r="R58" i="9"/>
  <c r="P58" i="9" s="1"/>
  <c r="O58" i="9"/>
  <c r="B23" i="7"/>
  <c r="C23" i="7" s="1"/>
  <c r="C39" i="7"/>
  <c r="R73" i="7"/>
  <c r="P73" i="7" s="1"/>
  <c r="O73" i="7"/>
  <c r="M73" i="7" s="1"/>
  <c r="T79" i="2"/>
  <c r="R79" i="2" s="1"/>
  <c r="Q79" i="2"/>
  <c r="B20" i="5"/>
  <c r="C33" i="5"/>
  <c r="T61" i="5"/>
  <c r="R61" i="5" s="1"/>
  <c r="Q61" i="5"/>
  <c r="O61" i="5" s="1"/>
  <c r="B20" i="2"/>
  <c r="C39" i="2"/>
  <c r="O61" i="15" l="1"/>
  <c r="V60" i="15"/>
  <c r="E33" i="15"/>
  <c r="C47" i="15"/>
  <c r="C61" i="15" s="1"/>
  <c r="C20" i="15"/>
  <c r="B34" i="15"/>
  <c r="B48" i="15" s="1"/>
  <c r="B62" i="15" s="1"/>
  <c r="S62" i="15" s="1"/>
  <c r="B21" i="14"/>
  <c r="C40" i="14"/>
  <c r="Q80" i="14"/>
  <c r="T80" i="14"/>
  <c r="R80" i="14" s="1"/>
  <c r="E78" i="14"/>
  <c r="B23" i="13"/>
  <c r="C35" i="13"/>
  <c r="O61" i="13"/>
  <c r="R61" i="13"/>
  <c r="P61" i="13" s="1"/>
  <c r="C23" i="11"/>
  <c r="B36" i="11"/>
  <c r="B49" i="11" s="1"/>
  <c r="B62" i="11" s="1"/>
  <c r="Q62" i="11" s="1"/>
  <c r="C48" i="11"/>
  <c r="C61" i="11" s="1"/>
  <c r="E35" i="11"/>
  <c r="T60" i="11"/>
  <c r="M61" i="11"/>
  <c r="M58" i="9"/>
  <c r="E57" i="9" s="1"/>
  <c r="T57" i="9"/>
  <c r="C20" i="9"/>
  <c r="B33" i="9"/>
  <c r="B46" i="9" s="1"/>
  <c r="B59" i="9" s="1"/>
  <c r="Q59" i="9" s="1"/>
  <c r="E32" i="9"/>
  <c r="C45" i="9"/>
  <c r="C58" i="9" s="1"/>
  <c r="B40" i="7"/>
  <c r="B57" i="7" s="1"/>
  <c r="B74" i="7" s="1"/>
  <c r="Q74" i="7" s="1"/>
  <c r="E39" i="7"/>
  <c r="C56" i="7"/>
  <c r="C73" i="7" s="1"/>
  <c r="E72" i="7"/>
  <c r="O79" i="2"/>
  <c r="E78" i="2" s="1"/>
  <c r="B34" i="5"/>
  <c r="B48" i="5" s="1"/>
  <c r="B62" i="5" s="1"/>
  <c r="S62" i="5" s="1"/>
  <c r="C20" i="5"/>
  <c r="E33" i="5"/>
  <c r="C47" i="5"/>
  <c r="C61" i="5" s="1"/>
  <c r="E60" i="5"/>
  <c r="C59" i="2"/>
  <c r="C79" i="2" s="1"/>
  <c r="E39" i="2"/>
  <c r="C20" i="2"/>
  <c r="B40" i="2"/>
  <c r="B60" i="2" s="1"/>
  <c r="B80" i="2" s="1"/>
  <c r="S80" i="2" s="1"/>
  <c r="E60" i="15" l="1"/>
  <c r="C34" i="15"/>
  <c r="B21" i="15"/>
  <c r="Q62" i="15"/>
  <c r="T62" i="15"/>
  <c r="R62" i="15" s="1"/>
  <c r="C21" i="14"/>
  <c r="B41" i="14"/>
  <c r="B61" i="14" s="1"/>
  <c r="B81" i="14" s="1"/>
  <c r="S81" i="14" s="1"/>
  <c r="C60" i="14"/>
  <c r="C80" i="14" s="1"/>
  <c r="E40" i="14"/>
  <c r="V79" i="14"/>
  <c r="O80" i="14"/>
  <c r="K78" i="14"/>
  <c r="G78" i="14"/>
  <c r="H78" i="14"/>
  <c r="I78" i="14"/>
  <c r="J78" i="14"/>
  <c r="L78" i="14"/>
  <c r="M78" i="14"/>
  <c r="C23" i="13"/>
  <c r="B36" i="13"/>
  <c r="B49" i="13" s="1"/>
  <c r="B62" i="13" s="1"/>
  <c r="Q62" i="13" s="1"/>
  <c r="E35" i="13"/>
  <c r="C48" i="13"/>
  <c r="C61" i="13" s="1"/>
  <c r="T60" i="13"/>
  <c r="M61" i="13"/>
  <c r="B24" i="11"/>
  <c r="C36" i="11"/>
  <c r="O62" i="11"/>
  <c r="R62" i="11"/>
  <c r="P62" i="11" s="1"/>
  <c r="E60" i="11"/>
  <c r="B21" i="9"/>
  <c r="C33" i="9"/>
  <c r="R59" i="9"/>
  <c r="P59" i="9" s="1"/>
  <c r="O59" i="9"/>
  <c r="G57" i="9"/>
  <c r="H57" i="9"/>
  <c r="I57" i="9"/>
  <c r="J57" i="9"/>
  <c r="K57" i="9"/>
  <c r="B24" i="7"/>
  <c r="C24" i="7" s="1"/>
  <c r="C40" i="7"/>
  <c r="O74" i="7"/>
  <c r="R74" i="7"/>
  <c r="P74" i="7" s="1"/>
  <c r="G72" i="7"/>
  <c r="H72" i="7"/>
  <c r="I72" i="7"/>
  <c r="J72" i="7"/>
  <c r="K72" i="7"/>
  <c r="J78" i="2"/>
  <c r="M78" i="2"/>
  <c r="G78" i="2"/>
  <c r="I78" i="2"/>
  <c r="H78" i="2"/>
  <c r="K78" i="2"/>
  <c r="L78" i="2"/>
  <c r="Q62" i="5"/>
  <c r="T62" i="5"/>
  <c r="R62" i="5" s="1"/>
  <c r="B21" i="5"/>
  <c r="C34" i="5"/>
  <c r="K60" i="5"/>
  <c r="H60" i="5"/>
  <c r="M60" i="5"/>
  <c r="I60" i="5"/>
  <c r="L60" i="5"/>
  <c r="J60" i="5"/>
  <c r="G60" i="5"/>
  <c r="T80" i="2"/>
  <c r="R80" i="2" s="1"/>
  <c r="Q80" i="2"/>
  <c r="C40" i="2"/>
  <c r="B21" i="2"/>
  <c r="K60" i="15" l="1"/>
  <c r="H60" i="15"/>
  <c r="L60" i="15"/>
  <c r="G60" i="15"/>
  <c r="J60" i="15"/>
  <c r="M60" i="15"/>
  <c r="I60" i="15"/>
  <c r="E34" i="15"/>
  <c r="C48" i="15"/>
  <c r="C62" i="15" s="1"/>
  <c r="C21" i="15"/>
  <c r="B35" i="15"/>
  <c r="B49" i="15" s="1"/>
  <c r="B63" i="15" s="1"/>
  <c r="S63" i="15" s="1"/>
  <c r="V61" i="15"/>
  <c r="O62" i="15"/>
  <c r="B22" i="14"/>
  <c r="C41" i="14"/>
  <c r="T81" i="14"/>
  <c r="R81" i="14" s="1"/>
  <c r="Q81" i="14"/>
  <c r="E79" i="14"/>
  <c r="B24" i="13"/>
  <c r="C36" i="13"/>
  <c r="O62" i="13"/>
  <c r="R62" i="13"/>
  <c r="P62" i="13" s="1"/>
  <c r="E60" i="13"/>
  <c r="C24" i="11"/>
  <c r="B37" i="11"/>
  <c r="B50" i="11" s="1"/>
  <c r="B63" i="11" s="1"/>
  <c r="Q63" i="11" s="1"/>
  <c r="C49" i="11"/>
  <c r="C62" i="11" s="1"/>
  <c r="E36" i="11"/>
  <c r="T61" i="11"/>
  <c r="M62" i="11"/>
  <c r="G60" i="11"/>
  <c r="I60" i="11"/>
  <c r="J60" i="11"/>
  <c r="H60" i="11"/>
  <c r="K60" i="11"/>
  <c r="T58" i="9"/>
  <c r="C21" i="9"/>
  <c r="B34" i="9"/>
  <c r="B47" i="9" s="1"/>
  <c r="B60" i="9" s="1"/>
  <c r="Q60" i="9" s="1"/>
  <c r="E33" i="9"/>
  <c r="C46" i="9"/>
  <c r="C59" i="9" s="1"/>
  <c r="M59" i="9"/>
  <c r="B41" i="7"/>
  <c r="B58" i="7" s="1"/>
  <c r="B75" i="7" s="1"/>
  <c r="Q75" i="7" s="1"/>
  <c r="E40" i="7"/>
  <c r="C57" i="7"/>
  <c r="C74" i="7" s="1"/>
  <c r="M74" i="7"/>
  <c r="C21" i="5"/>
  <c r="B35" i="5"/>
  <c r="B49" i="5" s="1"/>
  <c r="B63" i="5" s="1"/>
  <c r="S63" i="5" s="1"/>
  <c r="E34" i="5"/>
  <c r="C48" i="5"/>
  <c r="C62" i="5" s="1"/>
  <c r="O62" i="5"/>
  <c r="O80" i="2"/>
  <c r="E79" i="2" s="1"/>
  <c r="C60" i="2"/>
  <c r="C80" i="2" s="1"/>
  <c r="E40" i="2"/>
  <c r="B41" i="2"/>
  <c r="B61" i="2" s="1"/>
  <c r="B81" i="2" s="1"/>
  <c r="S81" i="2" s="1"/>
  <c r="C21" i="2"/>
  <c r="B22" i="15" l="1"/>
  <c r="C35" i="15"/>
  <c r="T63" i="15"/>
  <c r="R63" i="15" s="1"/>
  <c r="Q63" i="15"/>
  <c r="E61" i="15"/>
  <c r="C22" i="14"/>
  <c r="B42" i="14"/>
  <c r="B62" i="14" s="1"/>
  <c r="B82" i="14" s="1"/>
  <c r="S82" i="14" s="1"/>
  <c r="E41" i="14"/>
  <c r="C61" i="14"/>
  <c r="C81" i="14" s="1"/>
  <c r="V80" i="14"/>
  <c r="O81" i="14"/>
  <c r="M79" i="14"/>
  <c r="L79" i="14"/>
  <c r="K79" i="14"/>
  <c r="J79" i="14"/>
  <c r="I79" i="14"/>
  <c r="H79" i="14"/>
  <c r="G79" i="14"/>
  <c r="C24" i="13"/>
  <c r="B37" i="13"/>
  <c r="B50" i="13" s="1"/>
  <c r="B63" i="13" s="1"/>
  <c r="Q63" i="13" s="1"/>
  <c r="E36" i="13"/>
  <c r="C49" i="13"/>
  <c r="C62" i="13" s="1"/>
  <c r="T61" i="13"/>
  <c r="M62" i="13"/>
  <c r="K60" i="13"/>
  <c r="I60" i="13"/>
  <c r="G60" i="13"/>
  <c r="J60" i="13"/>
  <c r="H60" i="13"/>
  <c r="B25" i="11"/>
  <c r="C37" i="11"/>
  <c r="R63" i="11"/>
  <c r="P63" i="11" s="1"/>
  <c r="O63" i="11"/>
  <c r="E61" i="11"/>
  <c r="E58" i="9"/>
  <c r="B22" i="9"/>
  <c r="C22" i="9" s="1"/>
  <c r="B23" i="9" s="1"/>
  <c r="C34" i="9"/>
  <c r="R60" i="9"/>
  <c r="P60" i="9" s="1"/>
  <c r="O60" i="9"/>
  <c r="B25" i="7"/>
  <c r="C25" i="7" s="1"/>
  <c r="C41" i="7"/>
  <c r="O75" i="7"/>
  <c r="R75" i="7"/>
  <c r="P75" i="7" s="1"/>
  <c r="E73" i="7"/>
  <c r="B22" i="5"/>
  <c r="C35" i="5"/>
  <c r="T63" i="5"/>
  <c r="R63" i="5" s="1"/>
  <c r="Q63" i="5"/>
  <c r="E61" i="5"/>
  <c r="K79" i="2"/>
  <c r="G79" i="2"/>
  <c r="H79" i="2"/>
  <c r="J79" i="2"/>
  <c r="M79" i="2"/>
  <c r="I79" i="2"/>
  <c r="L79" i="2"/>
  <c r="T81" i="2"/>
  <c r="R81" i="2" s="1"/>
  <c r="Q81" i="2"/>
  <c r="C41" i="2"/>
  <c r="B22" i="2"/>
  <c r="B36" i="15" l="1"/>
  <c r="B50" i="15" s="1"/>
  <c r="B64" i="15" s="1"/>
  <c r="S64" i="15" s="1"/>
  <c r="C22" i="15"/>
  <c r="E35" i="15"/>
  <c r="C49" i="15"/>
  <c r="C63" i="15" s="1"/>
  <c r="V62" i="15"/>
  <c r="O63" i="15"/>
  <c r="L61" i="15"/>
  <c r="H61" i="15"/>
  <c r="K61" i="15"/>
  <c r="I61" i="15"/>
  <c r="M61" i="15"/>
  <c r="J61" i="15"/>
  <c r="G61" i="15"/>
  <c r="B23" i="14"/>
  <c r="C42" i="14"/>
  <c r="T82" i="14"/>
  <c r="R82" i="14" s="1"/>
  <c r="Q82" i="14"/>
  <c r="E80" i="14"/>
  <c r="B25" i="13"/>
  <c r="C37" i="13"/>
  <c r="O63" i="13"/>
  <c r="R63" i="13"/>
  <c r="P63" i="13" s="1"/>
  <c r="E61" i="13"/>
  <c r="C25" i="11"/>
  <c r="B38" i="11"/>
  <c r="B51" i="11" s="1"/>
  <c r="B64" i="11" s="1"/>
  <c r="Q64" i="11" s="1"/>
  <c r="E37" i="11"/>
  <c r="C50" i="11"/>
  <c r="C63" i="11" s="1"/>
  <c r="T62" i="11"/>
  <c r="M63" i="11"/>
  <c r="I61" i="11"/>
  <c r="H61" i="11"/>
  <c r="G61" i="11"/>
  <c r="J61" i="11"/>
  <c r="K61" i="11"/>
  <c r="T59" i="9"/>
  <c r="M60" i="9"/>
  <c r="B35" i="9"/>
  <c r="B48" i="9" s="1"/>
  <c r="B61" i="9" s="1"/>
  <c r="Q61" i="9" s="1"/>
  <c r="E34" i="9"/>
  <c r="C47" i="9"/>
  <c r="C60" i="9" s="1"/>
  <c r="K58" i="9"/>
  <c r="J58" i="9"/>
  <c r="I58" i="9"/>
  <c r="H58" i="9"/>
  <c r="G58" i="9"/>
  <c r="B42" i="7"/>
  <c r="B59" i="7" s="1"/>
  <c r="B76" i="7" s="1"/>
  <c r="Q76" i="7" s="1"/>
  <c r="E41" i="7"/>
  <c r="C58" i="7"/>
  <c r="C75" i="7" s="1"/>
  <c r="J73" i="7"/>
  <c r="K73" i="7"/>
  <c r="I73" i="7"/>
  <c r="G73" i="7"/>
  <c r="H73" i="7"/>
  <c r="M75" i="7"/>
  <c r="O63" i="5"/>
  <c r="E62" i="5" s="1"/>
  <c r="I62" i="5" s="1"/>
  <c r="B36" i="5"/>
  <c r="B50" i="5" s="1"/>
  <c r="B64" i="5" s="1"/>
  <c r="S64" i="5" s="1"/>
  <c r="C22" i="5"/>
  <c r="E35" i="5"/>
  <c r="C49" i="5"/>
  <c r="C63" i="5" s="1"/>
  <c r="L62" i="5"/>
  <c r="G62" i="5"/>
  <c r="K62" i="5"/>
  <c r="H62" i="5"/>
  <c r="J62" i="5"/>
  <c r="M62" i="5"/>
  <c r="L61" i="5"/>
  <c r="H61" i="5"/>
  <c r="M61" i="5"/>
  <c r="I61" i="5"/>
  <c r="J61" i="5"/>
  <c r="K61" i="5"/>
  <c r="G61" i="5"/>
  <c r="O81" i="2"/>
  <c r="E80" i="2" s="1"/>
  <c r="C61" i="2"/>
  <c r="C81" i="2" s="1"/>
  <c r="E41" i="2"/>
  <c r="B42" i="2"/>
  <c r="B62" i="2" s="1"/>
  <c r="B82" i="2" s="1"/>
  <c r="S82" i="2" s="1"/>
  <c r="C22" i="2"/>
  <c r="Q64" i="15" l="1"/>
  <c r="T64" i="15"/>
  <c r="R64" i="15" s="1"/>
  <c r="B23" i="15"/>
  <c r="C36" i="15"/>
  <c r="E62" i="15"/>
  <c r="C23" i="14"/>
  <c r="B43" i="14"/>
  <c r="B63" i="14" s="1"/>
  <c r="B83" i="14" s="1"/>
  <c r="S83" i="14" s="1"/>
  <c r="E42" i="14"/>
  <c r="C62" i="14"/>
  <c r="C82" i="14" s="1"/>
  <c r="V81" i="14"/>
  <c r="O82" i="14"/>
  <c r="M80" i="14"/>
  <c r="L80" i="14"/>
  <c r="K80" i="14"/>
  <c r="J80" i="14"/>
  <c r="I80" i="14"/>
  <c r="H80" i="14"/>
  <c r="G80" i="14"/>
  <c r="C25" i="13"/>
  <c r="B38" i="13"/>
  <c r="B51" i="13" s="1"/>
  <c r="B64" i="13" s="1"/>
  <c r="Q64" i="13" s="1"/>
  <c r="C50" i="13"/>
  <c r="C63" i="13" s="1"/>
  <c r="E37" i="13"/>
  <c r="T62" i="13"/>
  <c r="M63" i="13"/>
  <c r="J61" i="13"/>
  <c r="H61" i="13"/>
  <c r="K61" i="13"/>
  <c r="G61" i="13"/>
  <c r="I61" i="13"/>
  <c r="B26" i="11"/>
  <c r="B39" i="11" s="1"/>
  <c r="B52" i="11" s="1"/>
  <c r="B65" i="11" s="1"/>
  <c r="Q65" i="11" s="1"/>
  <c r="C38" i="11"/>
  <c r="O64" i="11"/>
  <c r="R64" i="11"/>
  <c r="P64" i="11" s="1"/>
  <c r="E62" i="11"/>
  <c r="E59" i="9"/>
  <c r="J59" i="9"/>
  <c r="K59" i="9"/>
  <c r="G59" i="9"/>
  <c r="H59" i="9"/>
  <c r="I59" i="9"/>
  <c r="C35" i="9"/>
  <c r="R61" i="9"/>
  <c r="P61" i="9" s="1"/>
  <c r="O61" i="9"/>
  <c r="B26" i="7"/>
  <c r="C26" i="7" s="1"/>
  <c r="C42" i="7"/>
  <c r="R76" i="7"/>
  <c r="P76" i="7" s="1"/>
  <c r="O76" i="7"/>
  <c r="E74" i="7"/>
  <c r="T64" i="5"/>
  <c r="R64" i="5" s="1"/>
  <c r="Q64" i="5"/>
  <c r="B23" i="5"/>
  <c r="C36" i="5"/>
  <c r="L80" i="2"/>
  <c r="G80" i="2"/>
  <c r="M80" i="2"/>
  <c r="K80" i="2"/>
  <c r="J80" i="2"/>
  <c r="H80" i="2"/>
  <c r="I80" i="2"/>
  <c r="T82" i="2"/>
  <c r="R82" i="2" s="1"/>
  <c r="Q82" i="2"/>
  <c r="C42" i="2"/>
  <c r="B23" i="2"/>
  <c r="V63" i="15" l="1"/>
  <c r="O64" i="15"/>
  <c r="C23" i="15"/>
  <c r="B37" i="15"/>
  <c r="B51" i="15" s="1"/>
  <c r="B65" i="15" s="1"/>
  <c r="S65" i="15" s="1"/>
  <c r="E36" i="15"/>
  <c r="C50" i="15"/>
  <c r="C64" i="15" s="1"/>
  <c r="K62" i="15"/>
  <c r="H62" i="15"/>
  <c r="L62" i="15"/>
  <c r="G62" i="15"/>
  <c r="I62" i="15"/>
  <c r="M62" i="15"/>
  <c r="J62" i="15"/>
  <c r="B24" i="14"/>
  <c r="C43" i="14"/>
  <c r="Q83" i="14"/>
  <c r="T83" i="14"/>
  <c r="R83" i="14" s="1"/>
  <c r="E81" i="14"/>
  <c r="B26" i="13"/>
  <c r="B39" i="13" s="1"/>
  <c r="B52" i="13" s="1"/>
  <c r="B65" i="13" s="1"/>
  <c r="Q65" i="13" s="1"/>
  <c r="C38" i="13"/>
  <c r="O64" i="13"/>
  <c r="R64" i="13"/>
  <c r="P64" i="13" s="1"/>
  <c r="E62" i="13"/>
  <c r="R65" i="11"/>
  <c r="P65" i="11" s="1"/>
  <c r="O65" i="11"/>
  <c r="T64" i="11" s="1"/>
  <c r="E38" i="11"/>
  <c r="C51" i="11"/>
  <c r="C64" i="11" s="1"/>
  <c r="T63" i="11"/>
  <c r="M64" i="11"/>
  <c r="G62" i="11"/>
  <c r="K62" i="11"/>
  <c r="I62" i="11"/>
  <c r="H62" i="11"/>
  <c r="J62" i="11"/>
  <c r="T60" i="9"/>
  <c r="M61" i="9"/>
  <c r="B36" i="9"/>
  <c r="B49" i="9" s="1"/>
  <c r="B62" i="9" s="1"/>
  <c r="Q62" i="9" s="1"/>
  <c r="E35" i="9"/>
  <c r="C48" i="9"/>
  <c r="C61" i="9" s="1"/>
  <c r="M76" i="7"/>
  <c r="E75" i="7" s="1"/>
  <c r="B43" i="7"/>
  <c r="B60" i="7" s="1"/>
  <c r="B77" i="7" s="1"/>
  <c r="Q77" i="7" s="1"/>
  <c r="C59" i="7"/>
  <c r="C76" i="7" s="1"/>
  <c r="E42" i="7"/>
  <c r="K74" i="7"/>
  <c r="I74" i="7"/>
  <c r="H74" i="7"/>
  <c r="J74" i="7"/>
  <c r="G74" i="7"/>
  <c r="O64" i="5"/>
  <c r="E63" i="5" s="1"/>
  <c r="C23" i="5"/>
  <c r="B37" i="5"/>
  <c r="B51" i="5" s="1"/>
  <c r="B65" i="5" s="1"/>
  <c r="S65" i="5" s="1"/>
  <c r="E36" i="5"/>
  <c r="C50" i="5"/>
  <c r="C64" i="5" s="1"/>
  <c r="O82" i="2"/>
  <c r="E81" i="2" s="1"/>
  <c r="C62" i="2"/>
  <c r="C82" i="2" s="1"/>
  <c r="E42" i="2"/>
  <c r="B43" i="2"/>
  <c r="B63" i="2" s="1"/>
  <c r="B83" i="2" s="1"/>
  <c r="S83" i="2" s="1"/>
  <c r="C23" i="2"/>
  <c r="E63" i="15" l="1"/>
  <c r="B24" i="15"/>
  <c r="B38" i="15" s="1"/>
  <c r="B52" i="15" s="1"/>
  <c r="B66" i="15" s="1"/>
  <c r="S66" i="15" s="1"/>
  <c r="C37" i="15"/>
  <c r="Q65" i="15"/>
  <c r="T65" i="15"/>
  <c r="R65" i="15" s="1"/>
  <c r="C24" i="14"/>
  <c r="B44" i="14"/>
  <c r="B64" i="14" s="1"/>
  <c r="B84" i="14" s="1"/>
  <c r="S84" i="14" s="1"/>
  <c r="E43" i="14"/>
  <c r="C63" i="14"/>
  <c r="C83" i="14" s="1"/>
  <c r="V82" i="14"/>
  <c r="O83" i="14"/>
  <c r="M81" i="14"/>
  <c r="I81" i="14"/>
  <c r="G81" i="14"/>
  <c r="L81" i="14"/>
  <c r="K81" i="14"/>
  <c r="J81" i="14"/>
  <c r="H81" i="14"/>
  <c r="R65" i="13"/>
  <c r="P65" i="13" s="1"/>
  <c r="O65" i="13"/>
  <c r="C51" i="13"/>
  <c r="C64" i="13" s="1"/>
  <c r="E38" i="13"/>
  <c r="T63" i="13"/>
  <c r="M64" i="13"/>
  <c r="T64" i="13"/>
  <c r="K62" i="13"/>
  <c r="I62" i="13"/>
  <c r="G62" i="13"/>
  <c r="H62" i="13"/>
  <c r="J62" i="13"/>
  <c r="T65" i="11"/>
  <c r="M65" i="11"/>
  <c r="E63" i="11"/>
  <c r="E60" i="9"/>
  <c r="C36" i="9"/>
  <c r="R62" i="9"/>
  <c r="P62" i="9" s="1"/>
  <c r="O62" i="9"/>
  <c r="G75" i="7"/>
  <c r="I75" i="7"/>
  <c r="H75" i="7"/>
  <c r="K75" i="7"/>
  <c r="J75" i="7"/>
  <c r="B27" i="7"/>
  <c r="C43" i="7"/>
  <c r="R77" i="7"/>
  <c r="P77" i="7" s="1"/>
  <c r="O77" i="7"/>
  <c r="M63" i="5"/>
  <c r="H63" i="5"/>
  <c r="J63" i="5"/>
  <c r="K63" i="5"/>
  <c r="G63" i="5"/>
  <c r="L63" i="5"/>
  <c r="I63" i="5"/>
  <c r="C37" i="5"/>
  <c r="B24" i="5"/>
  <c r="Q65" i="5"/>
  <c r="T65" i="5"/>
  <c r="R65" i="5" s="1"/>
  <c r="J81" i="2"/>
  <c r="M81" i="2"/>
  <c r="G81" i="2"/>
  <c r="H81" i="2"/>
  <c r="K81" i="2"/>
  <c r="I81" i="2"/>
  <c r="L81" i="2"/>
  <c r="T83" i="2"/>
  <c r="R83" i="2" s="1"/>
  <c r="Q83" i="2"/>
  <c r="B24" i="2"/>
  <c r="C43" i="2"/>
  <c r="H63" i="15" l="1"/>
  <c r="L63" i="15"/>
  <c r="I63" i="15"/>
  <c r="K63" i="15"/>
  <c r="G63" i="15"/>
  <c r="M63" i="15"/>
  <c r="J63" i="15"/>
  <c r="T66" i="15"/>
  <c r="R66" i="15" s="1"/>
  <c r="Q66" i="15"/>
  <c r="V65" i="15" s="1"/>
  <c r="E37" i="15"/>
  <c r="C51" i="15"/>
  <c r="C65" i="15" s="1"/>
  <c r="V64" i="15"/>
  <c r="O65" i="15"/>
  <c r="B25" i="14"/>
  <c r="C44" i="14"/>
  <c r="T84" i="14"/>
  <c r="R84" i="14" s="1"/>
  <c r="Q84" i="14"/>
  <c r="E82" i="14"/>
  <c r="M65" i="13"/>
  <c r="T65" i="13"/>
  <c r="E63" i="13"/>
  <c r="K63" i="11"/>
  <c r="J63" i="11"/>
  <c r="G63" i="11"/>
  <c r="H63" i="11"/>
  <c r="I63" i="11"/>
  <c r="E65" i="11"/>
  <c r="E64" i="11"/>
  <c r="K60" i="9"/>
  <c r="J60" i="9"/>
  <c r="I60" i="9"/>
  <c r="H60" i="9"/>
  <c r="G60" i="9"/>
  <c r="T62" i="9"/>
  <c r="T61" i="9"/>
  <c r="M62" i="9"/>
  <c r="C49" i="9"/>
  <c r="C62" i="9" s="1"/>
  <c r="M77" i="7"/>
  <c r="E76" i="7" s="1"/>
  <c r="C27" i="7"/>
  <c r="B44" i="7"/>
  <c r="B61" i="7" s="1"/>
  <c r="E43" i="7"/>
  <c r="C60" i="7"/>
  <c r="C77" i="7" s="1"/>
  <c r="C51" i="5"/>
  <c r="C65" i="5" s="1"/>
  <c r="E37" i="5"/>
  <c r="B38" i="5"/>
  <c r="B52" i="5" s="1"/>
  <c r="B66" i="5" s="1"/>
  <c r="S66" i="5" s="1"/>
  <c r="O65" i="5"/>
  <c r="O83" i="2"/>
  <c r="E82" i="2" s="1"/>
  <c r="C63" i="2"/>
  <c r="C83" i="2" s="1"/>
  <c r="E43" i="2"/>
  <c r="C24" i="2"/>
  <c r="B44" i="2"/>
  <c r="B64" i="2" s="1"/>
  <c r="B84" i="2" s="1"/>
  <c r="S84" i="2" s="1"/>
  <c r="V66" i="15" l="1"/>
  <c r="O66" i="15"/>
  <c r="E64" i="15"/>
  <c r="C25" i="14"/>
  <c r="B45" i="14"/>
  <c r="B65" i="14" s="1"/>
  <c r="B85" i="14" s="1"/>
  <c r="S85" i="14" s="1"/>
  <c r="E44" i="14"/>
  <c r="C64" i="14"/>
  <c r="C84" i="14" s="1"/>
  <c r="V83" i="14"/>
  <c r="O84" i="14"/>
  <c r="M82" i="14"/>
  <c r="L82" i="14"/>
  <c r="K82" i="14"/>
  <c r="J82" i="14"/>
  <c r="I82" i="14"/>
  <c r="H82" i="14"/>
  <c r="G82" i="14"/>
  <c r="E65" i="13"/>
  <c r="E64" i="13"/>
  <c r="I65" i="13"/>
  <c r="G65" i="13"/>
  <c r="K65" i="13"/>
  <c r="H65" i="13"/>
  <c r="J65" i="13"/>
  <c r="J63" i="13"/>
  <c r="G63" i="13"/>
  <c r="I63" i="13"/>
  <c r="K63" i="13"/>
  <c r="H63" i="13"/>
  <c r="H68" i="13" s="1"/>
  <c r="I64" i="13"/>
  <c r="G64" i="13"/>
  <c r="J64" i="13"/>
  <c r="H64" i="13"/>
  <c r="K64" i="13"/>
  <c r="G65" i="11"/>
  <c r="I65" i="11"/>
  <c r="K65" i="11"/>
  <c r="H65" i="11"/>
  <c r="J65" i="11"/>
  <c r="J64" i="11"/>
  <c r="G64" i="11"/>
  <c r="H64" i="11"/>
  <c r="I64" i="11"/>
  <c r="K64" i="11"/>
  <c r="E62" i="9"/>
  <c r="E61" i="9"/>
  <c r="B28" i="7"/>
  <c r="C28" i="7" s="1"/>
  <c r="C44" i="7"/>
  <c r="K76" i="7"/>
  <c r="J76" i="7"/>
  <c r="G76" i="7"/>
  <c r="H76" i="7"/>
  <c r="I76" i="7"/>
  <c r="C38" i="5"/>
  <c r="T66" i="5"/>
  <c r="R66" i="5" s="1"/>
  <c r="Q66" i="5"/>
  <c r="E64" i="5"/>
  <c r="K82" i="2"/>
  <c r="G82" i="2"/>
  <c r="H82" i="2"/>
  <c r="J82" i="2"/>
  <c r="M82" i="2"/>
  <c r="I82" i="2"/>
  <c r="L82" i="2"/>
  <c r="T84" i="2"/>
  <c r="R84" i="2" s="1"/>
  <c r="Q84" i="2"/>
  <c r="B25" i="2"/>
  <c r="C44" i="2"/>
  <c r="E66" i="15" l="1"/>
  <c r="E65" i="15"/>
  <c r="K66" i="15"/>
  <c r="I66" i="15"/>
  <c r="L66" i="15"/>
  <c r="G66" i="15"/>
  <c r="M66" i="15"/>
  <c r="H64" i="15"/>
  <c r="L64" i="15"/>
  <c r="G64" i="15"/>
  <c r="M64" i="15"/>
  <c r="J64" i="15"/>
  <c r="I64" i="15"/>
  <c r="K64" i="15"/>
  <c r="H65" i="15"/>
  <c r="B26" i="14"/>
  <c r="C45" i="14"/>
  <c r="Q85" i="14"/>
  <c r="T85" i="14"/>
  <c r="R85" i="14" s="1"/>
  <c r="E83" i="14"/>
  <c r="H72" i="13"/>
  <c r="H70" i="13"/>
  <c r="K68" i="13"/>
  <c r="I68" i="13"/>
  <c r="G68" i="13"/>
  <c r="J68" i="13"/>
  <c r="J68" i="11"/>
  <c r="I68" i="11"/>
  <c r="H68" i="11"/>
  <c r="G68" i="11"/>
  <c r="K68" i="11"/>
  <c r="K61" i="9"/>
  <c r="J61" i="9"/>
  <c r="I61" i="9"/>
  <c r="H61" i="9"/>
  <c r="G61" i="9"/>
  <c r="E77" i="7"/>
  <c r="B45" i="7"/>
  <c r="B62" i="7" s="1"/>
  <c r="C61" i="7"/>
  <c r="E44" i="7"/>
  <c r="O66" i="5"/>
  <c r="E65" i="5" s="1"/>
  <c r="C52" i="5"/>
  <c r="C66" i="5" s="1"/>
  <c r="M65" i="5"/>
  <c r="H64" i="5"/>
  <c r="M64" i="5"/>
  <c r="J64" i="5"/>
  <c r="L64" i="5"/>
  <c r="G64" i="5"/>
  <c r="I64" i="5"/>
  <c r="K64" i="5"/>
  <c r="O84" i="2"/>
  <c r="E83" i="2" s="1"/>
  <c r="C64" i="2"/>
  <c r="C84" i="2" s="1"/>
  <c r="E44" i="2"/>
  <c r="C25" i="2"/>
  <c r="B45" i="2"/>
  <c r="B65" i="2" s="1"/>
  <c r="B85" i="2" s="1"/>
  <c r="S85" i="2" s="1"/>
  <c r="L65" i="15" l="1"/>
  <c r="K65" i="15"/>
  <c r="J66" i="15"/>
  <c r="H66" i="15"/>
  <c r="M65" i="15"/>
  <c r="G65" i="15"/>
  <c r="G69" i="15" s="1"/>
  <c r="I65" i="15"/>
  <c r="J65" i="15"/>
  <c r="H69" i="15"/>
  <c r="J69" i="15"/>
  <c r="M69" i="15"/>
  <c r="I69" i="15"/>
  <c r="K69" i="15"/>
  <c r="L69" i="15"/>
  <c r="L79" i="15" s="1"/>
  <c r="B46" i="14"/>
  <c r="B66" i="14" s="1"/>
  <c r="B86" i="14" s="1"/>
  <c r="S86" i="14" s="1"/>
  <c r="C26" i="14"/>
  <c r="E45" i="14"/>
  <c r="C65" i="14"/>
  <c r="C85" i="14" s="1"/>
  <c r="V84" i="14"/>
  <c r="O85" i="14"/>
  <c r="M83" i="14"/>
  <c r="L83" i="14"/>
  <c r="K83" i="14"/>
  <c r="J83" i="14"/>
  <c r="I83" i="14"/>
  <c r="H83" i="14"/>
  <c r="G83" i="14"/>
  <c r="K70" i="13"/>
  <c r="K72" i="13"/>
  <c r="I70" i="13"/>
  <c r="I72" i="13"/>
  <c r="G70" i="13"/>
  <c r="G72" i="13"/>
  <c r="J70" i="13"/>
  <c r="J72" i="13"/>
  <c r="J70" i="11"/>
  <c r="J72" i="11"/>
  <c r="I72" i="11"/>
  <c r="I70" i="11"/>
  <c r="H72" i="11"/>
  <c r="H70" i="11"/>
  <c r="G72" i="11"/>
  <c r="G70" i="11"/>
  <c r="K72" i="11"/>
  <c r="K70" i="11"/>
  <c r="K62" i="9"/>
  <c r="J62" i="9"/>
  <c r="I62" i="9"/>
  <c r="H62" i="9"/>
  <c r="G62" i="9"/>
  <c r="B29" i="7"/>
  <c r="C29" i="7" s="1"/>
  <c r="B30" i="7" s="1"/>
  <c r="B47" i="7" s="1"/>
  <c r="B64" i="7" s="1"/>
  <c r="C45" i="7"/>
  <c r="H77" i="7"/>
  <c r="G77" i="7"/>
  <c r="K77" i="7"/>
  <c r="I77" i="7"/>
  <c r="J77" i="7"/>
  <c r="L65" i="5"/>
  <c r="K65" i="5"/>
  <c r="I65" i="5"/>
  <c r="J65" i="5"/>
  <c r="G65" i="5"/>
  <c r="H65" i="5"/>
  <c r="H83" i="2"/>
  <c r="M83" i="2"/>
  <c r="J83" i="2"/>
  <c r="I83" i="2"/>
  <c r="L83" i="2"/>
  <c r="G83" i="2"/>
  <c r="K83" i="2"/>
  <c r="T85" i="2"/>
  <c r="R85" i="2" s="1"/>
  <c r="Q85" i="2"/>
  <c r="C45" i="2"/>
  <c r="B26" i="2"/>
  <c r="H71" i="15" l="1"/>
  <c r="H73" i="15"/>
  <c r="J71" i="15"/>
  <c r="J73" i="15"/>
  <c r="M71" i="15"/>
  <c r="M73" i="15"/>
  <c r="I71" i="15"/>
  <c r="I73" i="15"/>
  <c r="K71" i="15"/>
  <c r="K73" i="15"/>
  <c r="L71" i="15"/>
  <c r="L73" i="15"/>
  <c r="G71" i="15"/>
  <c r="G73" i="15"/>
  <c r="Q86" i="14"/>
  <c r="T86" i="14"/>
  <c r="R86" i="14" s="1"/>
  <c r="C46" i="14"/>
  <c r="B27" i="14"/>
  <c r="E84" i="14"/>
  <c r="B46" i="7"/>
  <c r="B63" i="7" s="1"/>
  <c r="E45" i="7"/>
  <c r="C62" i="7"/>
  <c r="O85" i="2"/>
  <c r="E84" i="2" s="1"/>
  <c r="C65" i="2"/>
  <c r="C85" i="2" s="1"/>
  <c r="E45" i="2"/>
  <c r="B46" i="2"/>
  <c r="B66" i="2" s="1"/>
  <c r="B86" i="2" s="1"/>
  <c r="S86" i="2" s="1"/>
  <c r="C26" i="2"/>
  <c r="V85" i="14" l="1"/>
  <c r="O86" i="14"/>
  <c r="E46" i="14"/>
  <c r="C66" i="14"/>
  <c r="C86" i="14" s="1"/>
  <c r="B47" i="14"/>
  <c r="B67" i="14" s="1"/>
  <c r="B87" i="14" s="1"/>
  <c r="S87" i="14" s="1"/>
  <c r="C27" i="14"/>
  <c r="M84" i="14"/>
  <c r="I84" i="14"/>
  <c r="L84" i="14"/>
  <c r="K84" i="14"/>
  <c r="J84" i="14"/>
  <c r="H84" i="14"/>
  <c r="G84" i="14"/>
  <c r="C46" i="7"/>
  <c r="G84" i="2"/>
  <c r="K84" i="2"/>
  <c r="J84" i="2"/>
  <c r="I84" i="2"/>
  <c r="M84" i="2"/>
  <c r="H84" i="2"/>
  <c r="L84" i="2"/>
  <c r="T86" i="2"/>
  <c r="R86" i="2" s="1"/>
  <c r="Q86" i="2"/>
  <c r="B27" i="2"/>
  <c r="C46" i="2"/>
  <c r="E85" i="14" l="1"/>
  <c r="Q87" i="14"/>
  <c r="T87" i="14"/>
  <c r="R87" i="14" s="1"/>
  <c r="C47" i="14"/>
  <c r="B28" i="14"/>
  <c r="E46" i="7"/>
  <c r="C63" i="7"/>
  <c r="O86" i="2"/>
  <c r="E85" i="2" s="1"/>
  <c r="C66" i="2"/>
  <c r="C86" i="2" s="1"/>
  <c r="E46" i="2"/>
  <c r="B47" i="2"/>
  <c r="B67" i="2" s="1"/>
  <c r="B87" i="2" s="1"/>
  <c r="S87" i="2" s="1"/>
  <c r="C27" i="2"/>
  <c r="K85" i="14" l="1"/>
  <c r="H85" i="14"/>
  <c r="M85" i="14"/>
  <c r="L85" i="14"/>
  <c r="J85" i="14"/>
  <c r="I85" i="14"/>
  <c r="G85" i="14"/>
  <c r="V86" i="14"/>
  <c r="O87" i="14"/>
  <c r="E47" i="14"/>
  <c r="C67" i="14"/>
  <c r="C87" i="14" s="1"/>
  <c r="C28" i="14"/>
  <c r="B48" i="14"/>
  <c r="B68" i="14" s="1"/>
  <c r="B88" i="14" s="1"/>
  <c r="S88" i="14" s="1"/>
  <c r="I85" i="2"/>
  <c r="L85" i="2"/>
  <c r="G85" i="2"/>
  <c r="H85" i="2"/>
  <c r="K85" i="2"/>
  <c r="J85" i="2"/>
  <c r="M85" i="2"/>
  <c r="T87" i="2"/>
  <c r="R87" i="2" s="1"/>
  <c r="Q87" i="2"/>
  <c r="B28" i="2"/>
  <c r="C47" i="2"/>
  <c r="E86" i="14" l="1"/>
  <c r="B29" i="14"/>
  <c r="C48" i="14"/>
  <c r="T88" i="14"/>
  <c r="R88" i="14" s="1"/>
  <c r="Q88" i="14"/>
  <c r="O87" i="2"/>
  <c r="C67" i="2"/>
  <c r="C87" i="2" s="1"/>
  <c r="E47" i="2"/>
  <c r="B48" i="2"/>
  <c r="B68" i="2" s="1"/>
  <c r="B88" i="2" s="1"/>
  <c r="S88" i="2" s="1"/>
  <c r="C28" i="2"/>
  <c r="M86" i="14" l="1"/>
  <c r="L86" i="14"/>
  <c r="J86" i="14"/>
  <c r="H86" i="14"/>
  <c r="G86" i="14"/>
  <c r="K86" i="14"/>
  <c r="I86" i="14"/>
  <c r="B49" i="14"/>
  <c r="B69" i="14" s="1"/>
  <c r="B89" i="14" s="1"/>
  <c r="S89" i="14" s="1"/>
  <c r="C29" i="14"/>
  <c r="C68" i="14"/>
  <c r="C88" i="14" s="1"/>
  <c r="E48" i="14"/>
  <c r="V87" i="14"/>
  <c r="O88" i="14"/>
  <c r="H65" i="9"/>
  <c r="E86" i="2"/>
  <c r="T88" i="2"/>
  <c r="R88" i="2" s="1"/>
  <c r="Q88" i="2"/>
  <c r="B29" i="2"/>
  <c r="C48" i="2"/>
  <c r="T89" i="14" l="1"/>
  <c r="R89" i="14" s="1"/>
  <c r="Q89" i="14"/>
  <c r="C49" i="14"/>
  <c r="B30" i="14"/>
  <c r="B50" i="14" s="1"/>
  <c r="B70" i="14" s="1"/>
  <c r="B90" i="14" s="1"/>
  <c r="S90" i="14" s="1"/>
  <c r="E87" i="14"/>
  <c r="H67" i="9"/>
  <c r="H69" i="9"/>
  <c r="I65" i="9"/>
  <c r="G65" i="9"/>
  <c r="K65" i="9"/>
  <c r="J65" i="9"/>
  <c r="O88" i="2"/>
  <c r="E87" i="2" s="1"/>
  <c r="H86" i="2"/>
  <c r="K86" i="2"/>
  <c r="G86" i="2"/>
  <c r="I86" i="2"/>
  <c r="M86" i="2"/>
  <c r="J86" i="2"/>
  <c r="L86" i="2"/>
  <c r="C68" i="2"/>
  <c r="C88" i="2" s="1"/>
  <c r="E48" i="2"/>
  <c r="B49" i="2"/>
  <c r="B69" i="2" s="1"/>
  <c r="B89" i="2" s="1"/>
  <c r="S89" i="2" s="1"/>
  <c r="C29" i="2"/>
  <c r="V88" i="14" l="1"/>
  <c r="O89" i="14"/>
  <c r="E49" i="14"/>
  <c r="C69" i="14"/>
  <c r="C89" i="14" s="1"/>
  <c r="Q90" i="14"/>
  <c r="V89" i="14" s="1"/>
  <c r="T90" i="14"/>
  <c r="R90" i="14" s="1"/>
  <c r="K87" i="14"/>
  <c r="H87" i="14"/>
  <c r="M87" i="14"/>
  <c r="L87" i="14"/>
  <c r="J87" i="14"/>
  <c r="I87" i="14"/>
  <c r="G87" i="14"/>
  <c r="I67" i="9"/>
  <c r="I69" i="9"/>
  <c r="G67" i="9"/>
  <c r="G69" i="9"/>
  <c r="K67" i="9"/>
  <c r="K69" i="9"/>
  <c r="J67" i="9"/>
  <c r="J69" i="9"/>
  <c r="K87" i="2"/>
  <c r="I87" i="2"/>
  <c r="M87" i="2"/>
  <c r="G87" i="2"/>
  <c r="H87" i="2"/>
  <c r="J87" i="2"/>
  <c r="L87" i="2"/>
  <c r="T89" i="2"/>
  <c r="R89" i="2" s="1"/>
  <c r="Q89" i="2"/>
  <c r="C49" i="2"/>
  <c r="B30" i="2"/>
  <c r="B50" i="2" s="1"/>
  <c r="B70" i="2" s="1"/>
  <c r="B90" i="2" s="1"/>
  <c r="S90" i="2" s="1"/>
  <c r="E88" i="14" l="1"/>
  <c r="V90" i="14"/>
  <c r="O90" i="14"/>
  <c r="O89" i="2"/>
  <c r="E88" i="2" s="1"/>
  <c r="Q90" i="2"/>
  <c r="T90" i="2"/>
  <c r="R90" i="2" s="1"/>
  <c r="C69" i="2"/>
  <c r="C89" i="2" s="1"/>
  <c r="E49" i="2"/>
  <c r="M88" i="14" l="1"/>
  <c r="I88" i="14"/>
  <c r="G88" i="14"/>
  <c r="L88" i="14"/>
  <c r="K88" i="14"/>
  <c r="J88" i="14"/>
  <c r="H88" i="14"/>
  <c r="E90" i="14"/>
  <c r="E89" i="14"/>
  <c r="I88" i="2"/>
  <c r="J88" i="2"/>
  <c r="H88" i="2"/>
  <c r="M88" i="2"/>
  <c r="G88" i="2"/>
  <c r="L88" i="2"/>
  <c r="K88" i="2"/>
  <c r="O90" i="2"/>
  <c r="L90" i="14" l="1"/>
  <c r="K90" i="14"/>
  <c r="I90" i="14"/>
  <c r="H90" i="14"/>
  <c r="G90" i="14"/>
  <c r="M90" i="14"/>
  <c r="J90" i="14"/>
  <c r="L89" i="14"/>
  <c r="K89" i="14"/>
  <c r="J89" i="14"/>
  <c r="H89" i="14"/>
  <c r="G89" i="14"/>
  <c r="M89" i="14"/>
  <c r="I89" i="14"/>
  <c r="E89" i="2"/>
  <c r="E90" i="2"/>
  <c r="L93" i="14" l="1"/>
  <c r="L103" i="14" s="1"/>
  <c r="K93" i="14"/>
  <c r="I93" i="14"/>
  <c r="H93" i="14"/>
  <c r="G93" i="14"/>
  <c r="M93" i="14"/>
  <c r="J93" i="14"/>
  <c r="J69" i="5"/>
  <c r="J71" i="5" s="1"/>
  <c r="L69" i="5"/>
  <c r="L71" i="5" s="1"/>
  <c r="G69" i="5"/>
  <c r="G71" i="5" s="1"/>
  <c r="I69" i="5"/>
  <c r="I71" i="5" s="1"/>
  <c r="H69" i="5"/>
  <c r="H71" i="5" s="1"/>
  <c r="M69" i="5"/>
  <c r="M71" i="5" s="1"/>
  <c r="K69" i="5"/>
  <c r="K71" i="5" s="1"/>
  <c r="I89" i="2"/>
  <c r="K89" i="2"/>
  <c r="J89" i="2"/>
  <c r="L89" i="2"/>
  <c r="G89" i="2"/>
  <c r="M89" i="2"/>
  <c r="H89" i="2"/>
  <c r="H90" i="2"/>
  <c r="I90" i="2"/>
  <c r="J90" i="2"/>
  <c r="L90" i="2"/>
  <c r="M90" i="2"/>
  <c r="G90" i="2"/>
  <c r="K90" i="2"/>
  <c r="L95" i="14" l="1"/>
  <c r="L97" i="14"/>
  <c r="K95" i="14"/>
  <c r="K97" i="14"/>
  <c r="I95" i="14"/>
  <c r="I97" i="14"/>
  <c r="H95" i="14"/>
  <c r="H97" i="14"/>
  <c r="G95" i="14"/>
  <c r="G97" i="14"/>
  <c r="M95" i="14"/>
  <c r="M97" i="14"/>
  <c r="J95" i="14"/>
  <c r="J97" i="14"/>
  <c r="H84" i="7"/>
  <c r="H86" i="7" s="1"/>
  <c r="K84" i="7"/>
  <c r="K86" i="7" s="1"/>
  <c r="J84" i="7"/>
  <c r="J86" i="7" s="1"/>
  <c r="G84" i="7"/>
  <c r="G86" i="7" s="1"/>
  <c r="I84" i="7"/>
  <c r="I86" i="7" s="1"/>
  <c r="I93" i="2"/>
  <c r="I95" i="2" s="1"/>
  <c r="L93" i="2"/>
  <c r="L95" i="2" s="1"/>
  <c r="M93" i="2"/>
  <c r="M95" i="2" s="1"/>
  <c r="G93" i="2"/>
  <c r="G95" i="2" s="1"/>
  <c r="J93" i="2"/>
  <c r="J95" i="2" s="1"/>
  <c r="K93" i="2"/>
  <c r="K95" i="2" s="1"/>
  <c r="H93" i="2"/>
  <c r="H95" i="2" s="1"/>
</calcChain>
</file>

<file path=xl/sharedStrings.xml><?xml version="1.0" encoding="utf-8"?>
<sst xmlns="http://schemas.openxmlformats.org/spreadsheetml/2006/main" count="518" uniqueCount="93">
  <si>
    <t>class_name</t>
  </si>
  <si>
    <t>type</t>
  </si>
  <si>
    <t>sharecount</t>
  </si>
  <si>
    <t>seniority</t>
  </si>
  <si>
    <t>liquidation_preference_per_share</t>
  </si>
  <si>
    <t>convertible</t>
  </si>
  <si>
    <t>conversion_ratio</t>
  </si>
  <si>
    <t>participating</t>
  </si>
  <si>
    <t>participation_cap_multiple</t>
  </si>
  <si>
    <t>Series A Preferred</t>
  </si>
  <si>
    <t>Series B Preferred</t>
  </si>
  <si>
    <t>Series C Preferred</t>
  </si>
  <si>
    <t>Series D Preferred</t>
  </si>
  <si>
    <t>Series E Preferred</t>
  </si>
  <si>
    <t>Series F Preferred</t>
  </si>
  <si>
    <t>Common</t>
  </si>
  <si>
    <t>Preferred</t>
  </si>
  <si>
    <t xml:space="preserve">From </t>
  </si>
  <si>
    <t>To</t>
  </si>
  <si>
    <t>and above</t>
  </si>
  <si>
    <t>Breakpoint 1 - Series F receives liquidation preference</t>
  </si>
  <si>
    <t>Breakpoint 2 - Series E receives liquidation preference</t>
  </si>
  <si>
    <t>Breakpoint 3 - Series D receives liquidation preference</t>
  </si>
  <si>
    <t>Breakpoint 4 - Series C receives liquidation preference</t>
  </si>
  <si>
    <t>Breakpoint 5 - Series B receives liquidation preference</t>
  </si>
  <si>
    <t>Breakpoint 6 - Series A receives liquidation preference</t>
  </si>
  <si>
    <t>Breakpoint 7 - Common recieves distributions until Series A converts</t>
  </si>
  <si>
    <t>Breakpoint 8 - Series A, Common receive distributions until Series B converts</t>
  </si>
  <si>
    <t>Breakpoint 9 - Series A, Series B, Common receive disturbtions until Series C converts</t>
  </si>
  <si>
    <t>Breakpoint 10 - Series A, Series B, Series C, Common receive distributions until Series D converts</t>
  </si>
  <si>
    <t>Breakpoint 11 - Series A, Series B, Series C, Series D, Common receive distributions until Series E converts</t>
  </si>
  <si>
    <t>Breakpoint 12 - Series A, Series B, Series C, Series D, Series E, Common receive distributions until Series E converts</t>
  </si>
  <si>
    <t>Breakpoint 13 - All shares receive distributions pro rata</t>
  </si>
  <si>
    <t>Inputs &amp; Assumptions</t>
  </si>
  <si>
    <t>Equity Value</t>
  </si>
  <si>
    <t>Volatility</t>
  </si>
  <si>
    <t>Risk-free Rate</t>
  </si>
  <si>
    <t>Priority</t>
  </si>
  <si>
    <t>Sharecount</t>
  </si>
  <si>
    <t>Liquidation Preference (total)</t>
  </si>
  <si>
    <t>Liquidation Preference (per share)</t>
  </si>
  <si>
    <t>Breakpoints</t>
  </si>
  <si>
    <t>Incremental</t>
  </si>
  <si>
    <t>Distribution</t>
  </si>
  <si>
    <t>Total</t>
  </si>
  <si>
    <t>Allocation</t>
  </si>
  <si>
    <t>Option Value</t>
  </si>
  <si>
    <t>T</t>
  </si>
  <si>
    <t>N(d1)</t>
  </si>
  <si>
    <t>N(d2)</t>
  </si>
  <si>
    <t>d1</t>
  </si>
  <si>
    <t>d2</t>
  </si>
  <si>
    <t>Call</t>
  </si>
  <si>
    <t>Option</t>
  </si>
  <si>
    <t>Fair Value (per class)</t>
  </si>
  <si>
    <t>Fair Value (per share)</t>
  </si>
  <si>
    <t>Scenario</t>
  </si>
  <si>
    <t>Description</t>
  </si>
  <si>
    <t>Participating preferred</t>
  </si>
  <si>
    <t>Participating preferred with cap</t>
  </si>
  <si>
    <t>Convertible preferred</t>
  </si>
  <si>
    <t>Cap Point</t>
  </si>
  <si>
    <t>Conversion Point</t>
  </si>
  <si>
    <t>Breakpoint 1 - Series A, Series B, Series C, Series D receives liquidation preference</t>
  </si>
  <si>
    <t>Breakpoint 2 - All shares receive distributions until Series A reaches participation cap</t>
  </si>
  <si>
    <t>Breakpoint 3 - Series B, Series C, Series D, Common receive distributions until Series A converts</t>
  </si>
  <si>
    <t>Breakpoint 4 - All shares receive distributions until Series B reaches participation cap</t>
  </si>
  <si>
    <t>Breakpoint 5 - Series A, Series C, Series D, Common receive distributions until Series B converts</t>
  </si>
  <si>
    <t>Breakpoint 6 - All shares receive distributions until Series C reaches participation cap</t>
  </si>
  <si>
    <t>Breakpoint 7 - Series A, Series B, Series D, Common receive distributions until Series C converts</t>
  </si>
  <si>
    <t>Breakpoint 8 - All shares receive distributions until Series D reaches participation cap</t>
  </si>
  <si>
    <t>Breakpoint 9 - Series A, Series B, Series C, Common receive distributions until Series D converts</t>
  </si>
  <si>
    <t>Breakpoint 7 - All shares receive distributions pro rata</t>
  </si>
  <si>
    <t>Breakpoint 10 - All shares receive distributions pro rata</t>
  </si>
  <si>
    <t>Investment Cost (per share)</t>
  </si>
  <si>
    <t>Liquidation Preference Multiple</t>
  </si>
  <si>
    <t>Conversion Price</t>
  </si>
  <si>
    <t>Participation Cap Multiple</t>
  </si>
  <si>
    <t>Series Specific Volatility</t>
  </si>
  <si>
    <t>Convertible preferred with 2x liquidation preference</t>
  </si>
  <si>
    <t>Breakpoint 2 - Common receive distributions until Series A converts</t>
  </si>
  <si>
    <t>Breakpoint 3 - Series A, Common receive distributions until Series B converts</t>
  </si>
  <si>
    <t>Breakpoint 4 - Series A, Series B, Common receive distributions until Series C converts</t>
  </si>
  <si>
    <t>Breakpoint 5 - Series A, Series B, Series C, Common receive distributions until Series D converts</t>
  </si>
  <si>
    <t>Breakpoint 6 - All shares receive distributions pro rata</t>
  </si>
  <si>
    <t>Convertible preferred with accruing dividends that convert</t>
  </si>
  <si>
    <t>Preferred Dividend</t>
  </si>
  <si>
    <t>Issue Date</t>
  </si>
  <si>
    <t>Accrued Liquidation Preference</t>
  </si>
  <si>
    <t>Conversion Ratio</t>
  </si>
  <si>
    <t>Convertible preferred with accruing dividends that don't convert</t>
  </si>
  <si>
    <t>Target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</si>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</sst>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164" formatCode="0.0"/>
    <numFmt numFmtId="165" formatCode="0.0%"/>
    <numFmt numFmtId="166" formatCode="&quot;$&quot;#,##0.0000_);[Red]\(&quot;$&quot;#,##0.0000\)"/>
    <numFmt numFmtId="167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8" fontId="0" fillId="0" borderId="0" xfId="0" applyNumberFormat="1"/>
    <xf numFmtId="4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2" xfId="0" applyBorder="1"/>
    <xf numFmtId="6" fontId="0" fillId="0" borderId="0" xfId="0" applyNumberFormat="1"/>
    <xf numFmtId="0" fontId="0" fillId="0" borderId="3" xfId="0" applyBorder="1"/>
    <xf numFmtId="0" fontId="1" fillId="0" borderId="1" xfId="0" applyFont="1" applyBorder="1"/>
    <xf numFmtId="6" fontId="0" fillId="0" borderId="3" xfId="0" applyNumberFormat="1" applyBorder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6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6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/>
    <xf numFmtId="4" fontId="0" fillId="0" borderId="0" xfId="0" applyNumberFormat="1" applyAlignment="1">
      <alignment horizontal="center"/>
    </xf>
    <xf numFmtId="4" fontId="0" fillId="0" borderId="3" xfId="0" applyNumberFormat="1" applyBorder="1" applyAlignment="1">
      <alignment horizontal="center"/>
    </xf>
    <xf numFmtId="14" fontId="0" fillId="0" borderId="0" xfId="0" applyNumberFormat="1"/>
    <xf numFmtId="4" fontId="0" fillId="0" borderId="0" xfId="0" applyNumberFormat="1" applyAlignment="1">
      <alignment horizontal="left"/>
    </xf>
    <xf numFmtId="8" fontId="0" fillId="0" borderId="0" xfId="0" applyNumberFormat="1" applyAlignment="1">
      <alignment horizontal="left"/>
    </xf>
    <xf numFmtId="166" fontId="0" fillId="0" borderId="0" xfId="0" applyNumberFormat="1"/>
    <xf numFmtId="167" fontId="0" fillId="0" borderId="0" xfId="0" applyNumberFormat="1"/>
    <xf numFmtId="0" fontId="1" fillId="0" borderId="2" xfId="0" applyFont="1" applyBorder="1" applyAlignment="1">
      <alignment horizontal="center"/>
    </xf>
    <xf numFmtId="166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6CF11-88E0-451E-A3B7-13C2C3C272E4}">
  <dimension ref="A2:B8"/>
  <sheetViews>
    <sheetView workbookViewId="0">
      <selection activeCell="E25" sqref="E25"/>
    </sheetView>
  </sheetViews>
  <sheetFormatPr defaultRowHeight="15" x14ac:dyDescent="0.25"/>
  <cols>
    <col min="2" max="2" width="57.7109375" bestFit="1" customWidth="1"/>
  </cols>
  <sheetData>
    <row r="2" spans="1:2" x14ac:dyDescent="0.25">
      <c r="A2" t="s">
        <v>56</v>
      </c>
      <c r="B2" t="s">
        <v>57</v>
      </c>
    </row>
    <row r="3" spans="1:2" x14ac:dyDescent="0.25">
      <c r="A3">
        <v>1</v>
      </c>
      <c r="B3" t="s">
        <v>60</v>
      </c>
    </row>
    <row r="4" spans="1:2" x14ac:dyDescent="0.25">
      <c r="A4">
        <v>2</v>
      </c>
      <c r="B4" t="s">
        <v>58</v>
      </c>
    </row>
    <row r="5" spans="1:2" x14ac:dyDescent="0.25">
      <c r="A5">
        <v>3</v>
      </c>
      <c r="B5" t="s">
        <v>59</v>
      </c>
    </row>
    <row r="6" spans="1:2" x14ac:dyDescent="0.25">
      <c r="A6">
        <v>4</v>
      </c>
      <c r="B6" t="s">
        <v>79</v>
      </c>
    </row>
    <row r="7" spans="1:2" x14ac:dyDescent="0.25">
      <c r="A7">
        <v>5</v>
      </c>
      <c r="B7" t="s">
        <v>85</v>
      </c>
    </row>
    <row r="8" spans="1:2" x14ac:dyDescent="0.25">
      <c r="A8">
        <v>6</v>
      </c>
      <c r="B8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960A-1E6E-47D4-98A7-1E7E8DA19A03}">
  <dimension ref="A1:I8"/>
  <sheetViews>
    <sheetView workbookViewId="0">
      <selection activeCell="C2" sqref="C2:C8"/>
    </sheetView>
  </sheetViews>
  <sheetFormatPr defaultRowHeight="15" x14ac:dyDescent="0.25"/>
  <cols>
    <col min="1" max="1" width="16.5703125" bestFit="1" customWidth="1"/>
    <col min="2" max="2" width="11.42578125" customWidth="1"/>
    <col min="3" max="3" width="11.85546875" bestFit="1" customWidth="1"/>
    <col min="4" max="4" width="8.5703125" bestFit="1" customWidth="1"/>
    <col min="5" max="5" width="31.140625" bestFit="1" customWidth="1"/>
    <col min="6" max="6" width="10.7109375" bestFit="1" customWidth="1"/>
    <col min="7" max="7" width="15.85546875" bestFit="1" customWidth="1"/>
    <col min="8" max="8" width="12.28515625" bestFit="1" customWidth="1"/>
    <col min="9" max="9" width="25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16</v>
      </c>
      <c r="C2" s="3">
        <v>100000</v>
      </c>
      <c r="D2">
        <v>6</v>
      </c>
      <c r="E2" s="1">
        <v>10</v>
      </c>
      <c r="F2" t="b">
        <v>1</v>
      </c>
      <c r="G2" s="5">
        <v>1</v>
      </c>
    </row>
    <row r="3" spans="1:9" x14ac:dyDescent="0.25">
      <c r="A3" t="s">
        <v>10</v>
      </c>
      <c r="B3" t="s">
        <v>16</v>
      </c>
      <c r="C3" s="3">
        <v>150000</v>
      </c>
      <c r="D3">
        <v>5</v>
      </c>
      <c r="E3" s="1">
        <v>25</v>
      </c>
      <c r="F3" t="b">
        <v>1</v>
      </c>
      <c r="G3" s="5">
        <v>1</v>
      </c>
    </row>
    <row r="4" spans="1:9" x14ac:dyDescent="0.25">
      <c r="A4" t="s">
        <v>11</v>
      </c>
      <c r="B4" t="s">
        <v>16</v>
      </c>
      <c r="C4" s="3">
        <v>200000</v>
      </c>
      <c r="D4">
        <v>4</v>
      </c>
      <c r="E4" s="1">
        <v>50</v>
      </c>
      <c r="F4" t="b">
        <v>1</v>
      </c>
      <c r="G4" s="5">
        <v>1</v>
      </c>
    </row>
    <row r="5" spans="1:9" x14ac:dyDescent="0.25">
      <c r="A5" t="s">
        <v>12</v>
      </c>
      <c r="B5" t="s">
        <v>16</v>
      </c>
      <c r="C5" s="3">
        <v>225000</v>
      </c>
      <c r="D5">
        <v>3</v>
      </c>
      <c r="E5" s="1">
        <v>100</v>
      </c>
      <c r="F5" t="b">
        <v>1</v>
      </c>
      <c r="G5" s="5">
        <v>1</v>
      </c>
    </row>
    <row r="6" spans="1:9" x14ac:dyDescent="0.25">
      <c r="A6" t="s">
        <v>13</v>
      </c>
      <c r="B6" t="s">
        <v>16</v>
      </c>
      <c r="C6" s="3">
        <v>250000</v>
      </c>
      <c r="D6">
        <v>2</v>
      </c>
      <c r="E6" s="1">
        <v>400</v>
      </c>
      <c r="F6" t="b">
        <v>1</v>
      </c>
      <c r="G6" s="5">
        <v>1</v>
      </c>
    </row>
    <row r="7" spans="1:9" x14ac:dyDescent="0.25">
      <c r="A7" t="s">
        <v>14</v>
      </c>
      <c r="B7" t="s">
        <v>16</v>
      </c>
      <c r="C7" s="3">
        <v>300000</v>
      </c>
      <c r="D7">
        <v>1</v>
      </c>
      <c r="E7" s="1">
        <v>500</v>
      </c>
      <c r="F7" t="b">
        <v>1</v>
      </c>
      <c r="G7" s="5">
        <v>1</v>
      </c>
    </row>
    <row r="8" spans="1:9" x14ac:dyDescent="0.25">
      <c r="A8" t="s">
        <v>15</v>
      </c>
      <c r="B8" t="s">
        <v>15</v>
      </c>
      <c r="C8" s="3">
        <v>800000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EBFCE-7409-46D2-961B-87AE1BEE339F}">
  <dimension ref="B5:V101"/>
  <sheetViews>
    <sheetView showGridLines="0" zoomScale="85" zoomScaleNormal="85" workbookViewId="0">
      <selection activeCell="G95" sqref="G95:M97"/>
    </sheetView>
  </sheetViews>
  <sheetFormatPr defaultRowHeight="15" x14ac:dyDescent="0.25"/>
  <cols>
    <col min="2" max="3" width="17.140625" customWidth="1"/>
    <col min="4" max="4" width="2.85546875" customWidth="1"/>
    <col min="5" max="5" width="17.140625" customWidth="1"/>
    <col min="6" max="6" width="2.85546875" customWidth="1"/>
    <col min="7" max="13" width="17.140625" customWidth="1"/>
    <col min="15" max="15" width="17.140625" customWidth="1"/>
  </cols>
  <sheetData>
    <row r="5" spans="2:14" x14ac:dyDescent="0.25">
      <c r="B5" s="9" t="s">
        <v>33</v>
      </c>
      <c r="C5" s="9"/>
      <c r="G5" s="9" t="s">
        <v>9</v>
      </c>
      <c r="H5" s="9" t="s">
        <v>10</v>
      </c>
      <c r="I5" s="9" t="s">
        <v>11</v>
      </c>
      <c r="J5" s="9" t="s">
        <v>12</v>
      </c>
      <c r="K5" s="9" t="s">
        <v>13</v>
      </c>
      <c r="L5" s="9" t="s">
        <v>14</v>
      </c>
      <c r="M5" s="9" t="s">
        <v>15</v>
      </c>
    </row>
    <row r="6" spans="2:14" x14ac:dyDescent="0.25">
      <c r="B6" s="6"/>
      <c r="C6" s="6"/>
      <c r="G6" s="6"/>
      <c r="H6" s="6"/>
      <c r="I6" s="6"/>
      <c r="J6" s="6"/>
      <c r="K6" s="6"/>
      <c r="L6" s="6"/>
      <c r="M6" s="6"/>
    </row>
    <row r="7" spans="2:14" x14ac:dyDescent="0.25">
      <c r="B7" t="s">
        <v>34</v>
      </c>
      <c r="C7" s="7">
        <v>750000000</v>
      </c>
      <c r="G7" s="11">
        <f>'1.a Capital Structure'!D2</f>
        <v>6</v>
      </c>
      <c r="H7" s="11">
        <f>'1.a Capital Structure'!D3</f>
        <v>5</v>
      </c>
      <c r="I7" s="11">
        <f>'1.a Capital Structure'!D4</f>
        <v>4</v>
      </c>
      <c r="J7" s="11">
        <f>'1.a Capital Structure'!D5</f>
        <v>3</v>
      </c>
      <c r="K7" s="11">
        <f>'1.a Capital Structure'!D6</f>
        <v>2</v>
      </c>
      <c r="L7" s="11">
        <f>'1.a Capital Structure'!D7</f>
        <v>1</v>
      </c>
      <c r="M7" s="11"/>
      <c r="N7" s="11" t="s">
        <v>37</v>
      </c>
    </row>
    <row r="8" spans="2:14" x14ac:dyDescent="0.25">
      <c r="B8" t="s">
        <v>47</v>
      </c>
      <c r="C8">
        <v>2</v>
      </c>
      <c r="G8" s="12">
        <f>'1.a Capital Structure'!C2</f>
        <v>100000</v>
      </c>
      <c r="H8" s="12">
        <f>'1.a Capital Structure'!C3</f>
        <v>150000</v>
      </c>
      <c r="I8" s="12">
        <f>'1.a Capital Structure'!C4</f>
        <v>200000</v>
      </c>
      <c r="J8" s="12">
        <f>'1.a Capital Structure'!C5</f>
        <v>225000</v>
      </c>
      <c r="K8" s="12">
        <f>'1.a Capital Structure'!C6</f>
        <v>250000</v>
      </c>
      <c r="L8" s="12">
        <f>'1.a Capital Structure'!C7</f>
        <v>300000</v>
      </c>
      <c r="M8" s="12">
        <f>'1.a Capital Structure'!C8</f>
        <v>800000</v>
      </c>
      <c r="N8" s="11" t="s">
        <v>38</v>
      </c>
    </row>
    <row r="9" spans="2:14" x14ac:dyDescent="0.25">
      <c r="B9" t="s">
        <v>35</v>
      </c>
      <c r="C9" s="23">
        <v>0.45</v>
      </c>
      <c r="G9" s="13">
        <f>'1.a Capital Structure'!E2</f>
        <v>10</v>
      </c>
      <c r="H9" s="13">
        <f>'1.a Capital Structure'!E3</f>
        <v>25</v>
      </c>
      <c r="I9" s="13">
        <f>'1.a Capital Structure'!E4</f>
        <v>50</v>
      </c>
      <c r="J9" s="13">
        <f>'1.a Capital Structure'!E5</f>
        <v>100</v>
      </c>
      <c r="K9" s="13">
        <f>'1.a Capital Structure'!E6</f>
        <v>400</v>
      </c>
      <c r="L9" s="13">
        <f>'1.a Capital Structure'!E7</f>
        <v>500</v>
      </c>
      <c r="M9" s="11"/>
      <c r="N9" s="11" t="s">
        <v>40</v>
      </c>
    </row>
    <row r="10" spans="2:14" x14ac:dyDescent="0.25">
      <c r="B10" t="s">
        <v>36</v>
      </c>
      <c r="C10" s="23">
        <v>0.04</v>
      </c>
      <c r="G10" s="13">
        <f>G8*G9</f>
        <v>1000000</v>
      </c>
      <c r="H10" s="13">
        <f t="shared" ref="H10:L10" si="0">H8*H9</f>
        <v>3750000</v>
      </c>
      <c r="I10" s="13">
        <f t="shared" si="0"/>
        <v>10000000</v>
      </c>
      <c r="J10" s="13">
        <f t="shared" si="0"/>
        <v>22500000</v>
      </c>
      <c r="K10" s="13">
        <f t="shared" si="0"/>
        <v>100000000</v>
      </c>
      <c r="L10" s="13">
        <f t="shared" si="0"/>
        <v>150000000</v>
      </c>
      <c r="M10" s="11"/>
      <c r="N10" s="11" t="s">
        <v>39</v>
      </c>
    </row>
    <row r="11" spans="2:14" x14ac:dyDescent="0.25">
      <c r="B11" s="8"/>
      <c r="C11" s="8"/>
      <c r="G11" s="10"/>
      <c r="H11" s="10"/>
      <c r="I11" s="10"/>
      <c r="J11" s="10"/>
      <c r="K11" s="10"/>
      <c r="L11" s="10"/>
      <c r="M11" s="8"/>
    </row>
    <row r="15" spans="2:14" x14ac:dyDescent="0.25">
      <c r="B15" s="31" t="s">
        <v>41</v>
      </c>
      <c r="C15" s="31"/>
      <c r="E15" s="16"/>
      <c r="G15" s="16"/>
      <c r="H15" s="16"/>
      <c r="I15" s="16"/>
      <c r="J15" s="16"/>
      <c r="K15" s="16"/>
      <c r="L15" s="16"/>
      <c r="M15" s="16"/>
    </row>
    <row r="16" spans="2:14" x14ac:dyDescent="0.25">
      <c r="B16" s="17" t="s">
        <v>17</v>
      </c>
      <c r="C16" s="17" t="s">
        <v>18</v>
      </c>
      <c r="E16" s="17"/>
      <c r="G16" s="21" t="str">
        <f t="shared" ref="G16:M16" si="1">G5</f>
        <v>Series A Preferred</v>
      </c>
      <c r="H16" s="21" t="str">
        <f t="shared" si="1"/>
        <v>Series B Preferred</v>
      </c>
      <c r="I16" s="21" t="str">
        <f t="shared" si="1"/>
        <v>Series C Preferred</v>
      </c>
      <c r="J16" s="21" t="str">
        <f t="shared" si="1"/>
        <v>Series D Preferred</v>
      </c>
      <c r="K16" s="21" t="str">
        <f t="shared" si="1"/>
        <v>Series E Preferred</v>
      </c>
      <c r="L16" s="21" t="str">
        <f t="shared" si="1"/>
        <v>Series F Preferred</v>
      </c>
      <c r="M16" s="21" t="str">
        <f t="shared" si="1"/>
        <v>Common</v>
      </c>
    </row>
    <row r="17" spans="2:13" x14ac:dyDescent="0.25">
      <c r="B17" s="18"/>
      <c r="C17" s="18"/>
      <c r="E17" s="18"/>
      <c r="G17" s="18"/>
      <c r="H17" s="18"/>
      <c r="I17" s="18"/>
      <c r="J17" s="18"/>
      <c r="K17" s="18"/>
      <c r="L17" s="18"/>
      <c r="M17" s="18"/>
    </row>
    <row r="18" spans="2:13" x14ac:dyDescent="0.25">
      <c r="B18" s="19">
        <v>0</v>
      </c>
      <c r="C18" s="19">
        <f>B18+SUM(G18:L18)</f>
        <v>150000000</v>
      </c>
      <c r="E18" s="18"/>
      <c r="G18" s="18"/>
      <c r="H18" s="18"/>
      <c r="I18" s="18"/>
      <c r="J18" s="18"/>
      <c r="K18" s="18"/>
      <c r="L18" s="19">
        <f>L10</f>
        <v>150000000</v>
      </c>
      <c r="M18" s="18"/>
    </row>
    <row r="19" spans="2:13" x14ac:dyDescent="0.25">
      <c r="B19" s="19">
        <f>C18</f>
        <v>150000000</v>
      </c>
      <c r="C19" s="19">
        <f t="shared" ref="C19:C23" si="2">B19+SUM(G19:L19)</f>
        <v>250000000</v>
      </c>
      <c r="E19" s="18"/>
      <c r="G19" s="18"/>
      <c r="H19" s="18"/>
      <c r="I19" s="18"/>
      <c r="J19" s="18"/>
      <c r="K19" s="19">
        <f>K10</f>
        <v>100000000</v>
      </c>
      <c r="L19" s="18"/>
      <c r="M19" s="18"/>
    </row>
    <row r="20" spans="2:13" x14ac:dyDescent="0.25">
      <c r="B20" s="19">
        <f t="shared" ref="B20:B30" si="3">C19</f>
        <v>250000000</v>
      </c>
      <c r="C20" s="19">
        <f t="shared" si="2"/>
        <v>272500000</v>
      </c>
      <c r="E20" s="18"/>
      <c r="G20" s="18"/>
      <c r="H20" s="18"/>
      <c r="I20" s="18"/>
      <c r="J20" s="19">
        <f>J10</f>
        <v>22500000</v>
      </c>
      <c r="K20" s="18"/>
      <c r="L20" s="18"/>
      <c r="M20" s="18"/>
    </row>
    <row r="21" spans="2:13" x14ac:dyDescent="0.25">
      <c r="B21" s="19">
        <f t="shared" si="3"/>
        <v>272500000</v>
      </c>
      <c r="C21" s="19">
        <f t="shared" si="2"/>
        <v>282500000</v>
      </c>
      <c r="E21" s="18"/>
      <c r="G21" s="18"/>
      <c r="H21" s="18"/>
      <c r="I21" s="19">
        <f>I10</f>
        <v>10000000</v>
      </c>
      <c r="J21" s="18"/>
      <c r="K21" s="18"/>
      <c r="L21" s="18"/>
      <c r="M21" s="18"/>
    </row>
    <row r="22" spans="2:13" x14ac:dyDescent="0.25">
      <c r="B22" s="19">
        <f t="shared" si="3"/>
        <v>282500000</v>
      </c>
      <c r="C22" s="19">
        <f t="shared" si="2"/>
        <v>286250000</v>
      </c>
      <c r="E22" s="18"/>
      <c r="G22" s="18"/>
      <c r="H22" s="19">
        <f>H10</f>
        <v>3750000</v>
      </c>
      <c r="I22" s="18"/>
      <c r="J22" s="18"/>
      <c r="K22" s="18"/>
      <c r="L22" s="18"/>
      <c r="M22" s="18"/>
    </row>
    <row r="23" spans="2:13" x14ac:dyDescent="0.25">
      <c r="B23" s="19">
        <f t="shared" si="3"/>
        <v>286250000</v>
      </c>
      <c r="C23" s="19">
        <f t="shared" si="2"/>
        <v>287250000</v>
      </c>
      <c r="E23" s="18"/>
      <c r="G23" s="19">
        <f>G10</f>
        <v>1000000</v>
      </c>
      <c r="H23" s="18"/>
      <c r="I23" s="18"/>
      <c r="J23" s="18"/>
      <c r="K23" s="18"/>
      <c r="L23" s="18"/>
      <c r="M23" s="18"/>
    </row>
    <row r="24" spans="2:13" x14ac:dyDescent="0.25">
      <c r="B24" s="19">
        <f t="shared" si="3"/>
        <v>287250000</v>
      </c>
      <c r="C24" s="19">
        <f>B24+(E24-E23)*SUM(G24:M24)</f>
        <v>295250000</v>
      </c>
      <c r="E24" s="19">
        <f>G9</f>
        <v>10</v>
      </c>
      <c r="G24" s="18"/>
      <c r="H24" s="18"/>
      <c r="I24" s="18"/>
      <c r="J24" s="18"/>
      <c r="K24" s="18"/>
      <c r="L24" s="18"/>
      <c r="M24" s="20">
        <f>M$8</f>
        <v>800000</v>
      </c>
    </row>
    <row r="25" spans="2:13" x14ac:dyDescent="0.25">
      <c r="B25" s="19">
        <f t="shared" si="3"/>
        <v>295250000</v>
      </c>
      <c r="C25" s="19">
        <f t="shared" ref="C25:C29" si="4">B25+(E25-E24)*SUM(G25:M25)</f>
        <v>308750000</v>
      </c>
      <c r="E25" s="19">
        <f>H9</f>
        <v>25</v>
      </c>
      <c r="G25" s="20">
        <f>G$8</f>
        <v>100000</v>
      </c>
      <c r="H25" s="18"/>
      <c r="I25" s="18"/>
      <c r="J25" s="18"/>
      <c r="K25" s="18"/>
      <c r="L25" s="18"/>
      <c r="M25" s="20">
        <f>M$8</f>
        <v>800000</v>
      </c>
    </row>
    <row r="26" spans="2:13" x14ac:dyDescent="0.25">
      <c r="B26" s="19">
        <f t="shared" si="3"/>
        <v>308750000</v>
      </c>
      <c r="C26" s="19">
        <f t="shared" si="4"/>
        <v>335000000</v>
      </c>
      <c r="E26" s="19">
        <f>I9</f>
        <v>50</v>
      </c>
      <c r="G26" s="20">
        <f t="shared" ref="G26:M30" si="5">G$8</f>
        <v>100000</v>
      </c>
      <c r="H26" s="20">
        <f t="shared" si="5"/>
        <v>150000</v>
      </c>
      <c r="I26" s="18"/>
      <c r="J26" s="18"/>
      <c r="K26" s="18"/>
      <c r="L26" s="18"/>
      <c r="M26" s="20">
        <f>M$8</f>
        <v>800000</v>
      </c>
    </row>
    <row r="27" spans="2:13" x14ac:dyDescent="0.25">
      <c r="B27" s="19">
        <f t="shared" si="3"/>
        <v>335000000</v>
      </c>
      <c r="C27" s="19">
        <f t="shared" si="4"/>
        <v>397500000</v>
      </c>
      <c r="E27" s="19">
        <f>J9</f>
        <v>100</v>
      </c>
      <c r="G27" s="20">
        <f t="shared" si="5"/>
        <v>100000</v>
      </c>
      <c r="H27" s="20">
        <f t="shared" si="5"/>
        <v>150000</v>
      </c>
      <c r="I27" s="20">
        <f t="shared" si="5"/>
        <v>200000</v>
      </c>
      <c r="J27" s="18"/>
      <c r="K27" s="18"/>
      <c r="L27" s="18"/>
      <c r="M27" s="20">
        <f t="shared" ref="M27:M28" si="6">M$8</f>
        <v>800000</v>
      </c>
    </row>
    <row r="28" spans="2:13" x14ac:dyDescent="0.25">
      <c r="B28" s="19">
        <f t="shared" si="3"/>
        <v>397500000</v>
      </c>
      <c r="C28" s="19">
        <f t="shared" si="4"/>
        <v>840000000</v>
      </c>
      <c r="E28" s="19">
        <f>K9</f>
        <v>400</v>
      </c>
      <c r="G28" s="20">
        <f t="shared" si="5"/>
        <v>100000</v>
      </c>
      <c r="H28" s="20">
        <f t="shared" si="5"/>
        <v>150000</v>
      </c>
      <c r="I28" s="20">
        <f t="shared" si="5"/>
        <v>200000</v>
      </c>
      <c r="J28" s="20">
        <f t="shared" si="5"/>
        <v>225000</v>
      </c>
      <c r="K28" s="18"/>
      <c r="L28" s="18"/>
      <c r="M28" s="20">
        <f t="shared" si="6"/>
        <v>800000</v>
      </c>
    </row>
    <row r="29" spans="2:13" x14ac:dyDescent="0.25">
      <c r="B29" s="19">
        <f t="shared" si="3"/>
        <v>840000000</v>
      </c>
      <c r="C29" s="19">
        <f t="shared" si="4"/>
        <v>1012500000</v>
      </c>
      <c r="E29" s="19">
        <f>L9</f>
        <v>500</v>
      </c>
      <c r="G29" s="20">
        <f t="shared" si="5"/>
        <v>100000</v>
      </c>
      <c r="H29" s="20">
        <f t="shared" si="5"/>
        <v>150000</v>
      </c>
      <c r="I29" s="20">
        <f t="shared" si="5"/>
        <v>200000</v>
      </c>
      <c r="J29" s="20">
        <f t="shared" si="5"/>
        <v>225000</v>
      </c>
      <c r="K29" s="20">
        <f t="shared" si="5"/>
        <v>250000</v>
      </c>
      <c r="L29" s="18"/>
      <c r="M29" s="20">
        <f t="shared" si="5"/>
        <v>800000</v>
      </c>
    </row>
    <row r="30" spans="2:13" x14ac:dyDescent="0.25">
      <c r="B30" s="19">
        <f t="shared" si="3"/>
        <v>1012500000</v>
      </c>
      <c r="C30" s="19" t="s">
        <v>19</v>
      </c>
      <c r="E30" s="18"/>
      <c r="G30" s="20">
        <f t="shared" si="5"/>
        <v>100000</v>
      </c>
      <c r="H30" s="20">
        <f t="shared" si="5"/>
        <v>150000</v>
      </c>
      <c r="I30" s="20">
        <f t="shared" si="5"/>
        <v>200000</v>
      </c>
      <c r="J30" s="20">
        <f t="shared" si="5"/>
        <v>225000</v>
      </c>
      <c r="K30" s="20">
        <f t="shared" si="5"/>
        <v>250000</v>
      </c>
      <c r="L30" s="20">
        <f t="shared" si="5"/>
        <v>300000</v>
      </c>
      <c r="M30" s="20">
        <f t="shared" si="5"/>
        <v>800000</v>
      </c>
    </row>
    <row r="31" spans="2:13" x14ac:dyDescent="0.25">
      <c r="B31" s="17"/>
      <c r="C31" s="17"/>
      <c r="E31" s="17"/>
      <c r="G31" s="17"/>
      <c r="H31" s="17"/>
      <c r="I31" s="17"/>
      <c r="J31" s="17"/>
      <c r="K31" s="17"/>
      <c r="L31" s="17"/>
      <c r="M31" s="17"/>
    </row>
    <row r="35" spans="2:13" x14ac:dyDescent="0.25">
      <c r="B35" s="31" t="s">
        <v>41</v>
      </c>
      <c r="C35" s="31"/>
      <c r="D35" s="18"/>
      <c r="E35" s="15" t="s">
        <v>42</v>
      </c>
      <c r="G35" s="6"/>
      <c r="H35" s="6"/>
      <c r="I35" s="6"/>
      <c r="J35" s="6"/>
      <c r="K35" s="6"/>
      <c r="L35" s="6"/>
      <c r="M35" s="6"/>
    </row>
    <row r="36" spans="2:13" x14ac:dyDescent="0.25">
      <c r="B36" s="17" t="str">
        <f>B16</f>
        <v xml:space="preserve">From </v>
      </c>
      <c r="C36" s="17" t="str">
        <f>C16</f>
        <v>To</v>
      </c>
      <c r="D36" s="18"/>
      <c r="E36" s="21" t="s">
        <v>43</v>
      </c>
      <c r="G36" s="8"/>
      <c r="H36" s="8"/>
      <c r="I36" s="8"/>
      <c r="J36" s="8"/>
      <c r="K36" s="8"/>
      <c r="L36" s="8"/>
      <c r="M36" s="8"/>
    </row>
    <row r="37" spans="2:13" x14ac:dyDescent="0.25">
      <c r="B37" s="18"/>
      <c r="C37" s="18"/>
      <c r="D37" s="18"/>
      <c r="E37" s="18"/>
    </row>
    <row r="38" spans="2:13" x14ac:dyDescent="0.25">
      <c r="B38" s="18">
        <f t="shared" ref="B38:C38" si="7">B18</f>
        <v>0</v>
      </c>
      <c r="C38" s="19">
        <f t="shared" si="7"/>
        <v>150000000</v>
      </c>
      <c r="D38" s="18"/>
      <c r="E38" s="19">
        <f>C38-B38</f>
        <v>150000000</v>
      </c>
      <c r="G38" t="s">
        <v>20</v>
      </c>
      <c r="L38" s="7"/>
    </row>
    <row r="39" spans="2:13" x14ac:dyDescent="0.25">
      <c r="B39" s="19">
        <f t="shared" ref="B39:C39" si="8">B19</f>
        <v>150000000</v>
      </c>
      <c r="C39" s="19">
        <f t="shared" si="8"/>
        <v>250000000</v>
      </c>
      <c r="D39" s="18"/>
      <c r="E39" s="19">
        <f t="shared" ref="E39:E49" si="9">C39-B39</f>
        <v>100000000</v>
      </c>
      <c r="G39" t="s">
        <v>21</v>
      </c>
      <c r="K39" s="7"/>
    </row>
    <row r="40" spans="2:13" x14ac:dyDescent="0.25">
      <c r="B40" s="19">
        <f t="shared" ref="B40:C40" si="10">B20</f>
        <v>250000000</v>
      </c>
      <c r="C40" s="19">
        <f t="shared" si="10"/>
        <v>272500000</v>
      </c>
      <c r="D40" s="18"/>
      <c r="E40" s="19">
        <f t="shared" si="9"/>
        <v>22500000</v>
      </c>
      <c r="G40" t="s">
        <v>22</v>
      </c>
      <c r="J40" s="7"/>
    </row>
    <row r="41" spans="2:13" x14ac:dyDescent="0.25">
      <c r="B41" s="19">
        <f t="shared" ref="B41:C41" si="11">B21</f>
        <v>272500000</v>
      </c>
      <c r="C41" s="19">
        <f t="shared" si="11"/>
        <v>282500000</v>
      </c>
      <c r="D41" s="18"/>
      <c r="E41" s="19">
        <f t="shared" si="9"/>
        <v>10000000</v>
      </c>
      <c r="G41" t="s">
        <v>23</v>
      </c>
      <c r="I41" s="7"/>
    </row>
    <row r="42" spans="2:13" x14ac:dyDescent="0.25">
      <c r="B42" s="19">
        <f t="shared" ref="B42:C42" si="12">B22</f>
        <v>282500000</v>
      </c>
      <c r="C42" s="19">
        <f t="shared" si="12"/>
        <v>286250000</v>
      </c>
      <c r="D42" s="18"/>
      <c r="E42" s="19">
        <f t="shared" si="9"/>
        <v>3750000</v>
      </c>
      <c r="G42" t="s">
        <v>24</v>
      </c>
      <c r="H42" s="7"/>
    </row>
    <row r="43" spans="2:13" x14ac:dyDescent="0.25">
      <c r="B43" s="19">
        <f t="shared" ref="B43:C43" si="13">B23</f>
        <v>286250000</v>
      </c>
      <c r="C43" s="19">
        <f t="shared" si="13"/>
        <v>287250000</v>
      </c>
      <c r="D43" s="18"/>
      <c r="E43" s="19">
        <f t="shared" si="9"/>
        <v>1000000</v>
      </c>
      <c r="G43" s="7" t="s">
        <v>25</v>
      </c>
    </row>
    <row r="44" spans="2:13" x14ac:dyDescent="0.25">
      <c r="B44" s="19">
        <f t="shared" ref="B44:C44" si="14">B24</f>
        <v>287250000</v>
      </c>
      <c r="C44" s="19">
        <f t="shared" si="14"/>
        <v>295250000</v>
      </c>
      <c r="D44" s="18"/>
      <c r="E44" s="19">
        <f t="shared" si="9"/>
        <v>8000000</v>
      </c>
      <c r="G44" t="s">
        <v>26</v>
      </c>
      <c r="M44" s="3"/>
    </row>
    <row r="45" spans="2:13" x14ac:dyDescent="0.25">
      <c r="B45" s="19">
        <f t="shared" ref="B45:C45" si="15">B25</f>
        <v>295250000</v>
      </c>
      <c r="C45" s="19">
        <f t="shared" si="15"/>
        <v>308750000</v>
      </c>
      <c r="D45" s="18"/>
      <c r="E45" s="19">
        <f t="shared" si="9"/>
        <v>13500000</v>
      </c>
      <c r="G45" s="3" t="s">
        <v>27</v>
      </c>
      <c r="M45" s="3"/>
    </row>
    <row r="46" spans="2:13" x14ac:dyDescent="0.25">
      <c r="B46" s="19">
        <f t="shared" ref="B46:C46" si="16">B26</f>
        <v>308750000</v>
      </c>
      <c r="C46" s="19">
        <f t="shared" si="16"/>
        <v>335000000</v>
      </c>
      <c r="D46" s="18"/>
      <c r="E46" s="19">
        <f t="shared" si="9"/>
        <v>26250000</v>
      </c>
      <c r="G46" s="3" t="s">
        <v>28</v>
      </c>
      <c r="H46" s="3"/>
      <c r="M46" s="3"/>
    </row>
    <row r="47" spans="2:13" x14ac:dyDescent="0.25">
      <c r="B47" s="19">
        <f t="shared" ref="B47:C47" si="17">B27</f>
        <v>335000000</v>
      </c>
      <c r="C47" s="19">
        <f t="shared" si="17"/>
        <v>397500000</v>
      </c>
      <c r="D47" s="18"/>
      <c r="E47" s="19">
        <f t="shared" si="9"/>
        <v>62500000</v>
      </c>
      <c r="G47" s="3" t="s">
        <v>29</v>
      </c>
      <c r="H47" s="3"/>
      <c r="I47" s="3"/>
      <c r="M47" s="3"/>
    </row>
    <row r="48" spans="2:13" x14ac:dyDescent="0.25">
      <c r="B48" s="19">
        <f t="shared" ref="B48:C48" si="18">B28</f>
        <v>397500000</v>
      </c>
      <c r="C48" s="19">
        <f t="shared" si="18"/>
        <v>840000000</v>
      </c>
      <c r="D48" s="18"/>
      <c r="E48" s="19">
        <f t="shared" si="9"/>
        <v>442500000</v>
      </c>
      <c r="G48" s="3" t="s">
        <v>30</v>
      </c>
      <c r="H48" s="3"/>
      <c r="I48" s="3"/>
      <c r="J48" s="3"/>
      <c r="M48" s="3"/>
    </row>
    <row r="49" spans="2:13" x14ac:dyDescent="0.25">
      <c r="B49" s="19">
        <f t="shared" ref="B49:C49" si="19">B29</f>
        <v>840000000</v>
      </c>
      <c r="C49" s="19">
        <f t="shared" si="19"/>
        <v>1012500000</v>
      </c>
      <c r="D49" s="18"/>
      <c r="E49" s="19">
        <f t="shared" si="9"/>
        <v>172500000</v>
      </c>
      <c r="G49" s="3" t="s">
        <v>31</v>
      </c>
      <c r="H49" s="3"/>
      <c r="I49" s="3"/>
      <c r="J49" s="3"/>
      <c r="K49" s="3"/>
      <c r="M49" s="3"/>
    </row>
    <row r="50" spans="2:13" x14ac:dyDescent="0.25">
      <c r="B50" s="19">
        <f t="shared" ref="B50:C50" si="20">B30</f>
        <v>1012500000</v>
      </c>
      <c r="C50" s="19" t="str">
        <f t="shared" si="20"/>
        <v>and above</v>
      </c>
      <c r="D50" s="18"/>
      <c r="E50" s="18"/>
      <c r="G50" s="3" t="s">
        <v>32</v>
      </c>
      <c r="H50" s="3"/>
      <c r="I50" s="3"/>
      <c r="J50" s="3"/>
      <c r="K50" s="3"/>
      <c r="L50" s="3"/>
      <c r="M50" s="3"/>
    </row>
    <row r="51" spans="2:13" x14ac:dyDescent="0.25">
      <c r="B51" s="17"/>
      <c r="C51" s="17"/>
      <c r="D51" s="18"/>
      <c r="E51" s="17"/>
      <c r="G51" s="8"/>
      <c r="H51" s="8"/>
      <c r="I51" s="8"/>
      <c r="J51" s="8"/>
      <c r="K51" s="8"/>
      <c r="L51" s="8"/>
      <c r="M51" s="8"/>
    </row>
    <row r="55" spans="2:13" x14ac:dyDescent="0.25">
      <c r="B55" s="31" t="s">
        <v>41</v>
      </c>
      <c r="C55" s="31"/>
      <c r="E55" s="15" t="s">
        <v>44</v>
      </c>
      <c r="G55" s="16"/>
      <c r="H55" s="16"/>
      <c r="I55" s="16"/>
      <c r="J55" s="16"/>
      <c r="K55" s="16"/>
      <c r="L55" s="16"/>
      <c r="M55" s="16"/>
    </row>
    <row r="56" spans="2:13" x14ac:dyDescent="0.25">
      <c r="B56" s="17" t="str">
        <f>B36</f>
        <v xml:space="preserve">From </v>
      </c>
      <c r="C56" s="17" t="str">
        <f>C36</f>
        <v>To</v>
      </c>
      <c r="E56" s="21" t="s">
        <v>45</v>
      </c>
      <c r="G56" s="21" t="str">
        <f>G16</f>
        <v>Series A Preferred</v>
      </c>
      <c r="H56" s="21" t="str">
        <f t="shared" ref="H56:M56" si="21">H16</f>
        <v>Series B Preferred</v>
      </c>
      <c r="I56" s="21" t="str">
        <f t="shared" si="21"/>
        <v>Series C Preferred</v>
      </c>
      <c r="J56" s="21" t="str">
        <f t="shared" si="21"/>
        <v>Series D Preferred</v>
      </c>
      <c r="K56" s="21" t="str">
        <f t="shared" si="21"/>
        <v>Series E Preferred</v>
      </c>
      <c r="L56" s="21" t="str">
        <f t="shared" si="21"/>
        <v>Series F Preferred</v>
      </c>
      <c r="M56" s="21" t="str">
        <f t="shared" si="21"/>
        <v>Common</v>
      </c>
    </row>
    <row r="57" spans="2:13" x14ac:dyDescent="0.25">
      <c r="B57" s="18"/>
      <c r="C57" s="18"/>
      <c r="E57" s="18"/>
      <c r="G57" s="18"/>
      <c r="H57" s="18"/>
      <c r="I57" s="18"/>
      <c r="J57" s="18"/>
      <c r="K57" s="18"/>
      <c r="L57" s="18"/>
      <c r="M57" s="18"/>
    </row>
    <row r="58" spans="2:13" x14ac:dyDescent="0.25">
      <c r="B58" s="18">
        <f t="shared" ref="B58:C70" si="22">B38</f>
        <v>0</v>
      </c>
      <c r="C58" s="19">
        <f t="shared" si="22"/>
        <v>150000000</v>
      </c>
      <c r="E58" s="22">
        <f>SUM(G58:M58)</f>
        <v>1</v>
      </c>
      <c r="G58" s="22">
        <f>G18/SUM($G18:$M18)</f>
        <v>0</v>
      </c>
      <c r="H58" s="22">
        <f t="shared" ref="H58:M58" si="23">H18/SUM($G18:$M18)</f>
        <v>0</v>
      </c>
      <c r="I58" s="22">
        <f t="shared" si="23"/>
        <v>0</v>
      </c>
      <c r="J58" s="22">
        <f t="shared" si="23"/>
        <v>0</v>
      </c>
      <c r="K58" s="22">
        <f t="shared" si="23"/>
        <v>0</v>
      </c>
      <c r="L58" s="22">
        <f t="shared" si="23"/>
        <v>1</v>
      </c>
      <c r="M58" s="22">
        <f t="shared" si="23"/>
        <v>0</v>
      </c>
    </row>
    <row r="59" spans="2:13" x14ac:dyDescent="0.25">
      <c r="B59" s="19">
        <f t="shared" si="22"/>
        <v>150000000</v>
      </c>
      <c r="C59" s="19">
        <f t="shared" si="22"/>
        <v>250000000</v>
      </c>
      <c r="E59" s="22">
        <f t="shared" ref="E59:E70" si="24">SUM(G59:M59)</f>
        <v>1</v>
      </c>
      <c r="G59" s="22">
        <f t="shared" ref="G59:M59" si="25">G19/SUM($G19:$M19)</f>
        <v>0</v>
      </c>
      <c r="H59" s="22">
        <f t="shared" si="25"/>
        <v>0</v>
      </c>
      <c r="I59" s="22">
        <f t="shared" si="25"/>
        <v>0</v>
      </c>
      <c r="J59" s="22">
        <f t="shared" si="25"/>
        <v>0</v>
      </c>
      <c r="K59" s="22">
        <f t="shared" si="25"/>
        <v>1</v>
      </c>
      <c r="L59" s="22">
        <f t="shared" si="25"/>
        <v>0</v>
      </c>
      <c r="M59" s="22">
        <f t="shared" si="25"/>
        <v>0</v>
      </c>
    </row>
    <row r="60" spans="2:13" x14ac:dyDescent="0.25">
      <c r="B60" s="19">
        <f t="shared" si="22"/>
        <v>250000000</v>
      </c>
      <c r="C60" s="19">
        <f t="shared" si="22"/>
        <v>272500000</v>
      </c>
      <c r="E60" s="22">
        <f t="shared" si="24"/>
        <v>1</v>
      </c>
      <c r="G60" s="22">
        <f t="shared" ref="G60:M60" si="26">G20/SUM($G20:$M20)</f>
        <v>0</v>
      </c>
      <c r="H60" s="22">
        <f t="shared" si="26"/>
        <v>0</v>
      </c>
      <c r="I60" s="22">
        <f t="shared" si="26"/>
        <v>0</v>
      </c>
      <c r="J60" s="22">
        <f t="shared" si="26"/>
        <v>1</v>
      </c>
      <c r="K60" s="22">
        <f t="shared" si="26"/>
        <v>0</v>
      </c>
      <c r="L60" s="22">
        <f t="shared" si="26"/>
        <v>0</v>
      </c>
      <c r="M60" s="22">
        <f t="shared" si="26"/>
        <v>0</v>
      </c>
    </row>
    <row r="61" spans="2:13" x14ac:dyDescent="0.25">
      <c r="B61" s="19">
        <f t="shared" si="22"/>
        <v>272500000</v>
      </c>
      <c r="C61" s="19">
        <f t="shared" si="22"/>
        <v>282500000</v>
      </c>
      <c r="E61" s="22">
        <f t="shared" si="24"/>
        <v>1</v>
      </c>
      <c r="G61" s="22">
        <f t="shared" ref="G61:M61" si="27">G21/SUM($G21:$M21)</f>
        <v>0</v>
      </c>
      <c r="H61" s="22">
        <f t="shared" si="27"/>
        <v>0</v>
      </c>
      <c r="I61" s="22">
        <f t="shared" si="27"/>
        <v>1</v>
      </c>
      <c r="J61" s="22">
        <f t="shared" si="27"/>
        <v>0</v>
      </c>
      <c r="K61" s="22">
        <f t="shared" si="27"/>
        <v>0</v>
      </c>
      <c r="L61" s="22">
        <f t="shared" si="27"/>
        <v>0</v>
      </c>
      <c r="M61" s="22">
        <f t="shared" si="27"/>
        <v>0</v>
      </c>
    </row>
    <row r="62" spans="2:13" x14ac:dyDescent="0.25">
      <c r="B62" s="19">
        <f t="shared" si="22"/>
        <v>282500000</v>
      </c>
      <c r="C62" s="19">
        <f t="shared" si="22"/>
        <v>286250000</v>
      </c>
      <c r="E62" s="22">
        <f t="shared" si="24"/>
        <v>1</v>
      </c>
      <c r="G62" s="22">
        <f t="shared" ref="G62:M62" si="28">G22/SUM($G22:$M22)</f>
        <v>0</v>
      </c>
      <c r="H62" s="22">
        <f t="shared" si="28"/>
        <v>1</v>
      </c>
      <c r="I62" s="22">
        <f t="shared" si="28"/>
        <v>0</v>
      </c>
      <c r="J62" s="22">
        <f t="shared" si="28"/>
        <v>0</v>
      </c>
      <c r="K62" s="22">
        <f t="shared" si="28"/>
        <v>0</v>
      </c>
      <c r="L62" s="22">
        <f t="shared" si="28"/>
        <v>0</v>
      </c>
      <c r="M62" s="22">
        <f t="shared" si="28"/>
        <v>0</v>
      </c>
    </row>
    <row r="63" spans="2:13" x14ac:dyDescent="0.25">
      <c r="B63" s="19">
        <f t="shared" si="22"/>
        <v>286250000</v>
      </c>
      <c r="C63" s="19">
        <f t="shared" si="22"/>
        <v>287250000</v>
      </c>
      <c r="E63" s="22">
        <f t="shared" si="24"/>
        <v>1</v>
      </c>
      <c r="G63" s="22">
        <f t="shared" ref="G63:M63" si="29">G23/SUM($G23:$M23)</f>
        <v>1</v>
      </c>
      <c r="H63" s="22">
        <f t="shared" si="29"/>
        <v>0</v>
      </c>
      <c r="I63" s="22">
        <f t="shared" si="29"/>
        <v>0</v>
      </c>
      <c r="J63" s="22">
        <f t="shared" si="29"/>
        <v>0</v>
      </c>
      <c r="K63" s="22">
        <f t="shared" si="29"/>
        <v>0</v>
      </c>
      <c r="L63" s="22">
        <f t="shared" si="29"/>
        <v>0</v>
      </c>
      <c r="M63" s="22">
        <f t="shared" si="29"/>
        <v>0</v>
      </c>
    </row>
    <row r="64" spans="2:13" x14ac:dyDescent="0.25">
      <c r="B64" s="19">
        <f t="shared" si="22"/>
        <v>287250000</v>
      </c>
      <c r="C64" s="19">
        <f t="shared" si="22"/>
        <v>295250000</v>
      </c>
      <c r="E64" s="22">
        <f t="shared" si="24"/>
        <v>1</v>
      </c>
      <c r="G64" s="22">
        <f t="shared" ref="G64:M64" si="30">G24/SUM($G24:$M24)</f>
        <v>0</v>
      </c>
      <c r="H64" s="22">
        <f t="shared" si="30"/>
        <v>0</v>
      </c>
      <c r="I64" s="22">
        <f t="shared" si="30"/>
        <v>0</v>
      </c>
      <c r="J64" s="22">
        <f t="shared" si="30"/>
        <v>0</v>
      </c>
      <c r="K64" s="22">
        <f t="shared" si="30"/>
        <v>0</v>
      </c>
      <c r="L64" s="22">
        <f t="shared" si="30"/>
        <v>0</v>
      </c>
      <c r="M64" s="22">
        <f t="shared" si="30"/>
        <v>1</v>
      </c>
    </row>
    <row r="65" spans="2:22" x14ac:dyDescent="0.25">
      <c r="B65" s="19">
        <f t="shared" si="22"/>
        <v>295250000</v>
      </c>
      <c r="C65" s="19">
        <f t="shared" si="22"/>
        <v>308750000</v>
      </c>
      <c r="E65" s="22">
        <f t="shared" si="24"/>
        <v>1</v>
      </c>
      <c r="G65" s="22">
        <f t="shared" ref="G65:M65" si="31">G25/SUM($G25:$M25)</f>
        <v>0.1111111111111111</v>
      </c>
      <c r="H65" s="22">
        <f t="shared" si="31"/>
        <v>0</v>
      </c>
      <c r="I65" s="22">
        <f t="shared" si="31"/>
        <v>0</v>
      </c>
      <c r="J65" s="22">
        <f t="shared" si="31"/>
        <v>0</v>
      </c>
      <c r="K65" s="22">
        <f t="shared" si="31"/>
        <v>0</v>
      </c>
      <c r="L65" s="22">
        <f t="shared" si="31"/>
        <v>0</v>
      </c>
      <c r="M65" s="22">
        <f t="shared" si="31"/>
        <v>0.88888888888888884</v>
      </c>
    </row>
    <row r="66" spans="2:22" x14ac:dyDescent="0.25">
      <c r="B66" s="19">
        <f t="shared" si="22"/>
        <v>308750000</v>
      </c>
      <c r="C66" s="19">
        <f t="shared" si="22"/>
        <v>335000000</v>
      </c>
      <c r="E66" s="22">
        <f t="shared" si="24"/>
        <v>1</v>
      </c>
      <c r="G66" s="22">
        <f t="shared" ref="G66:M66" si="32">G26/SUM($G26:$M26)</f>
        <v>9.5238095238095233E-2</v>
      </c>
      <c r="H66" s="22">
        <f t="shared" si="32"/>
        <v>0.14285714285714285</v>
      </c>
      <c r="I66" s="22">
        <f t="shared" si="32"/>
        <v>0</v>
      </c>
      <c r="J66" s="22">
        <f t="shared" si="32"/>
        <v>0</v>
      </c>
      <c r="K66" s="22">
        <f t="shared" si="32"/>
        <v>0</v>
      </c>
      <c r="L66" s="22">
        <f t="shared" si="32"/>
        <v>0</v>
      </c>
      <c r="M66" s="22">
        <f t="shared" si="32"/>
        <v>0.76190476190476186</v>
      </c>
    </row>
    <row r="67" spans="2:22" x14ac:dyDescent="0.25">
      <c r="B67" s="19">
        <f t="shared" si="22"/>
        <v>335000000</v>
      </c>
      <c r="C67" s="19">
        <f t="shared" si="22"/>
        <v>397500000</v>
      </c>
      <c r="E67" s="22">
        <f t="shared" si="24"/>
        <v>1</v>
      </c>
      <c r="G67" s="22">
        <f t="shared" ref="G67:M67" si="33">G27/SUM($G27:$M27)</f>
        <v>0.08</v>
      </c>
      <c r="H67" s="22">
        <f t="shared" si="33"/>
        <v>0.12</v>
      </c>
      <c r="I67" s="22">
        <f t="shared" si="33"/>
        <v>0.16</v>
      </c>
      <c r="J67" s="22">
        <f t="shared" si="33"/>
        <v>0</v>
      </c>
      <c r="K67" s="22">
        <f t="shared" si="33"/>
        <v>0</v>
      </c>
      <c r="L67" s="22">
        <f t="shared" si="33"/>
        <v>0</v>
      </c>
      <c r="M67" s="22">
        <f t="shared" si="33"/>
        <v>0.64</v>
      </c>
    </row>
    <row r="68" spans="2:22" x14ac:dyDescent="0.25">
      <c r="B68" s="19">
        <f t="shared" si="22"/>
        <v>397500000</v>
      </c>
      <c r="C68" s="19">
        <f t="shared" si="22"/>
        <v>840000000</v>
      </c>
      <c r="E68" s="22">
        <f t="shared" si="24"/>
        <v>1</v>
      </c>
      <c r="G68" s="22">
        <f t="shared" ref="G68:M68" si="34">G28/SUM($G28:$M28)</f>
        <v>6.7796610169491525E-2</v>
      </c>
      <c r="H68" s="22">
        <f t="shared" si="34"/>
        <v>0.10169491525423729</v>
      </c>
      <c r="I68" s="22">
        <f t="shared" si="34"/>
        <v>0.13559322033898305</v>
      </c>
      <c r="J68" s="22">
        <f t="shared" si="34"/>
        <v>0.15254237288135594</v>
      </c>
      <c r="K68" s="22">
        <f t="shared" si="34"/>
        <v>0</v>
      </c>
      <c r="L68" s="22">
        <f t="shared" si="34"/>
        <v>0</v>
      </c>
      <c r="M68" s="22">
        <f t="shared" si="34"/>
        <v>0.5423728813559322</v>
      </c>
    </row>
    <row r="69" spans="2:22" x14ac:dyDescent="0.25">
      <c r="B69" s="19">
        <f t="shared" si="22"/>
        <v>840000000</v>
      </c>
      <c r="C69" s="19">
        <f t="shared" si="22"/>
        <v>1012500000</v>
      </c>
      <c r="E69" s="22">
        <f t="shared" si="24"/>
        <v>1</v>
      </c>
      <c r="G69" s="22">
        <f t="shared" ref="G69:M69" si="35">G29/SUM($G29:$M29)</f>
        <v>5.7971014492753624E-2</v>
      </c>
      <c r="H69" s="22">
        <f t="shared" si="35"/>
        <v>8.6956521739130432E-2</v>
      </c>
      <c r="I69" s="22">
        <f t="shared" si="35"/>
        <v>0.11594202898550725</v>
      </c>
      <c r="J69" s="22">
        <f t="shared" si="35"/>
        <v>0.13043478260869565</v>
      </c>
      <c r="K69" s="22">
        <f t="shared" si="35"/>
        <v>0.14492753623188406</v>
      </c>
      <c r="L69" s="22">
        <f t="shared" si="35"/>
        <v>0</v>
      </c>
      <c r="M69" s="22">
        <f t="shared" si="35"/>
        <v>0.46376811594202899</v>
      </c>
    </row>
    <row r="70" spans="2:22" x14ac:dyDescent="0.25">
      <c r="B70" s="19">
        <f t="shared" si="22"/>
        <v>1012500000</v>
      </c>
      <c r="C70" s="19" t="str">
        <f t="shared" si="22"/>
        <v>and above</v>
      </c>
      <c r="E70" s="22">
        <f t="shared" si="24"/>
        <v>1</v>
      </c>
      <c r="G70" s="22">
        <f t="shared" ref="G70:M70" si="36">G30/SUM($G30:$M30)</f>
        <v>4.9382716049382713E-2</v>
      </c>
      <c r="H70" s="22">
        <f t="shared" si="36"/>
        <v>7.407407407407407E-2</v>
      </c>
      <c r="I70" s="22">
        <f t="shared" si="36"/>
        <v>9.8765432098765427E-2</v>
      </c>
      <c r="J70" s="22">
        <f t="shared" si="36"/>
        <v>0.1111111111111111</v>
      </c>
      <c r="K70" s="22">
        <f t="shared" si="36"/>
        <v>0.12345679012345678</v>
      </c>
      <c r="L70" s="22">
        <f t="shared" si="36"/>
        <v>0.14814814814814814</v>
      </c>
      <c r="M70" s="22">
        <f t="shared" si="36"/>
        <v>0.39506172839506171</v>
      </c>
    </row>
    <row r="71" spans="2:22" x14ac:dyDescent="0.25">
      <c r="B71" s="17"/>
      <c r="C71" s="17"/>
      <c r="E71" s="17"/>
      <c r="G71" s="17"/>
      <c r="H71" s="17"/>
      <c r="I71" s="17"/>
      <c r="J71" s="17"/>
      <c r="K71" s="17"/>
      <c r="L71" s="17"/>
      <c r="M71" s="17"/>
    </row>
    <row r="72" spans="2:22" x14ac:dyDescent="0.25">
      <c r="G72" s="18"/>
      <c r="H72" s="18"/>
      <c r="I72" s="18"/>
      <c r="J72" s="18"/>
      <c r="K72" s="18"/>
      <c r="L72" s="18"/>
      <c r="M72" s="18"/>
    </row>
    <row r="73" spans="2:22" x14ac:dyDescent="0.25">
      <c r="G73" s="18"/>
      <c r="H73" s="18"/>
      <c r="I73" s="18"/>
      <c r="J73" s="18"/>
      <c r="K73" s="18"/>
      <c r="L73" s="18"/>
      <c r="M73" s="18"/>
    </row>
    <row r="74" spans="2:22" x14ac:dyDescent="0.25">
      <c r="G74" s="18"/>
      <c r="H74" s="18"/>
      <c r="I74" s="18"/>
      <c r="J74" s="18"/>
      <c r="K74" s="18"/>
      <c r="L74" s="18"/>
      <c r="M74" s="18"/>
    </row>
    <row r="75" spans="2:22" x14ac:dyDescent="0.25">
      <c r="B75" s="31" t="str">
        <f>B55</f>
        <v>Breakpoints</v>
      </c>
      <c r="C75" s="31">
        <f>C55</f>
        <v>0</v>
      </c>
      <c r="E75" s="15" t="s">
        <v>46</v>
      </c>
      <c r="G75" s="16"/>
      <c r="H75" s="16"/>
      <c r="I75" s="16"/>
      <c r="J75" s="16"/>
      <c r="K75" s="16"/>
      <c r="L75" s="16"/>
      <c r="M75" s="16"/>
      <c r="O75" s="16" t="s">
        <v>52</v>
      </c>
      <c r="P75" s="18"/>
      <c r="Q75" s="16"/>
      <c r="R75" s="16"/>
      <c r="S75" s="16"/>
      <c r="T75" s="16"/>
      <c r="V75" s="16" t="s">
        <v>42</v>
      </c>
    </row>
    <row r="76" spans="2:22" x14ac:dyDescent="0.25">
      <c r="B76" s="17" t="str">
        <f t="shared" ref="B76:C89" si="37">B56</f>
        <v xml:space="preserve">From </v>
      </c>
      <c r="C76" s="17" t="str">
        <f t="shared" si="37"/>
        <v>To</v>
      </c>
      <c r="E76" s="17"/>
      <c r="G76" s="21" t="str">
        <f>G5</f>
        <v>Series A Preferred</v>
      </c>
      <c r="H76" s="21" t="str">
        <f t="shared" ref="H76:M76" si="38">H5</f>
        <v>Series B Preferred</v>
      </c>
      <c r="I76" s="21" t="str">
        <f t="shared" si="38"/>
        <v>Series C Preferred</v>
      </c>
      <c r="J76" s="21" t="str">
        <f t="shared" si="38"/>
        <v>Series D Preferred</v>
      </c>
      <c r="K76" s="21" t="str">
        <f t="shared" si="38"/>
        <v>Series E Preferred</v>
      </c>
      <c r="L76" s="21" t="str">
        <f t="shared" si="38"/>
        <v>Series F Preferred</v>
      </c>
      <c r="M76" s="21" t="str">
        <f t="shared" si="38"/>
        <v>Common</v>
      </c>
      <c r="O76" s="17" t="s">
        <v>53</v>
      </c>
      <c r="P76" s="18"/>
      <c r="Q76" s="17" t="s">
        <v>48</v>
      </c>
      <c r="R76" s="17" t="s">
        <v>49</v>
      </c>
      <c r="S76" s="17" t="s">
        <v>50</v>
      </c>
      <c r="T76" s="17" t="s">
        <v>51</v>
      </c>
      <c r="V76" s="17" t="s">
        <v>48</v>
      </c>
    </row>
    <row r="77" spans="2:22" x14ac:dyDescent="0.25">
      <c r="B77" s="18"/>
      <c r="C77" s="18"/>
      <c r="E77" s="16"/>
      <c r="G77" s="6"/>
      <c r="H77" s="6"/>
      <c r="I77" s="6"/>
      <c r="J77" s="6"/>
      <c r="K77" s="6"/>
      <c r="L77" s="6"/>
      <c r="M77" s="6"/>
      <c r="O77" s="16"/>
      <c r="P77" s="18"/>
      <c r="Q77" s="16"/>
      <c r="R77" s="16"/>
      <c r="S77" s="16"/>
      <c r="T77" s="16"/>
      <c r="V77" s="16"/>
    </row>
    <row r="78" spans="2:22" x14ac:dyDescent="0.25">
      <c r="B78" s="18">
        <f t="shared" si="37"/>
        <v>0</v>
      </c>
      <c r="C78" s="19">
        <f t="shared" si="37"/>
        <v>150000000</v>
      </c>
      <c r="E78" s="19">
        <f>O78-O79</f>
        <v>138226069.89324617</v>
      </c>
      <c r="G78" s="19">
        <f>$E78*G58</f>
        <v>0</v>
      </c>
      <c r="H78" s="19">
        <f t="shared" ref="H78:M78" si="39">$E78*H58</f>
        <v>0</v>
      </c>
      <c r="I78" s="19">
        <f t="shared" si="39"/>
        <v>0</v>
      </c>
      <c r="J78" s="19">
        <f t="shared" si="39"/>
        <v>0</v>
      </c>
      <c r="K78" s="19">
        <f t="shared" si="39"/>
        <v>0</v>
      </c>
      <c r="L78" s="19">
        <f t="shared" si="39"/>
        <v>138226069.89324617</v>
      </c>
      <c r="M78" s="19">
        <f t="shared" si="39"/>
        <v>0</v>
      </c>
      <c r="O78" s="19">
        <f>C7</f>
        <v>750000000</v>
      </c>
      <c r="P78" s="18"/>
      <c r="Q78" s="18">
        <v>1</v>
      </c>
      <c r="R78" s="18"/>
      <c r="S78" s="18"/>
      <c r="T78" s="18"/>
      <c r="V78" s="24">
        <f>Q78-Q79</f>
        <v>1.4750334052406888E-3</v>
      </c>
    </row>
    <row r="79" spans="2:22" x14ac:dyDescent="0.25">
      <c r="B79" s="19">
        <f t="shared" si="37"/>
        <v>150000000</v>
      </c>
      <c r="C79" s="19">
        <f t="shared" si="37"/>
        <v>250000000</v>
      </c>
      <c r="E79" s="19">
        <f t="shared" ref="E79:E90" si="40">O79-O80</f>
        <v>89367221.265705109</v>
      </c>
      <c r="G79" s="19">
        <f t="shared" ref="G79:M89" si="41">$E79*G59</f>
        <v>0</v>
      </c>
      <c r="H79" s="19">
        <f t="shared" si="41"/>
        <v>0</v>
      </c>
      <c r="I79" s="19">
        <f t="shared" si="41"/>
        <v>0</v>
      </c>
      <c r="J79" s="19">
        <f t="shared" si="41"/>
        <v>0</v>
      </c>
      <c r="K79" s="19">
        <f t="shared" si="41"/>
        <v>89367221.265705109</v>
      </c>
      <c r="L79" s="19">
        <f t="shared" si="41"/>
        <v>0</v>
      </c>
      <c r="M79" s="19">
        <f t="shared" si="41"/>
        <v>0</v>
      </c>
      <c r="O79" s="19">
        <f>$C$7*Q79-B79*EXP(-$C$10*$C$8)*R79</f>
        <v>611773930.10675383</v>
      </c>
      <c r="P79" s="18"/>
      <c r="Q79" s="24">
        <f>NORMSDIST(S79)</f>
        <v>0.99852496659475931</v>
      </c>
      <c r="R79" s="24">
        <f>NORMSDIST(T79)</f>
        <v>0.99026733647782839</v>
      </c>
      <c r="S79" s="24">
        <f>(LN($C$7/B79)+($C$10+$C$9*$C$9/2)*$C$8)/($C$9*SQRT($C$8))</f>
        <v>2.9728936165912727</v>
      </c>
      <c r="T79" s="24">
        <f>S79-$C$9*SQRT($C$8)</f>
        <v>2.3364975135233799</v>
      </c>
      <c r="V79" s="24">
        <f t="shared" ref="V79:V90" si="42">Q79-Q80</f>
        <v>1.3520490464524193E-2</v>
      </c>
    </row>
    <row r="80" spans="2:22" x14ac:dyDescent="0.25">
      <c r="B80" s="19">
        <f t="shared" si="37"/>
        <v>250000000</v>
      </c>
      <c r="C80" s="19">
        <f t="shared" si="37"/>
        <v>272500000</v>
      </c>
      <c r="E80" s="19">
        <f t="shared" si="40"/>
        <v>19283082.721724033</v>
      </c>
      <c r="G80" s="19">
        <f t="shared" si="41"/>
        <v>0</v>
      </c>
      <c r="H80" s="19">
        <f t="shared" si="41"/>
        <v>0</v>
      </c>
      <c r="I80" s="19">
        <f t="shared" si="41"/>
        <v>0</v>
      </c>
      <c r="J80" s="19">
        <f t="shared" si="41"/>
        <v>19283082.721724033</v>
      </c>
      <c r="K80" s="19">
        <f t="shared" si="41"/>
        <v>0</v>
      </c>
      <c r="L80" s="19">
        <f t="shared" si="41"/>
        <v>0</v>
      </c>
      <c r="M80" s="19">
        <f t="shared" si="41"/>
        <v>0</v>
      </c>
      <c r="O80" s="19">
        <f t="shared" ref="O80:O90" si="43">$C$7*Q80-B80*EXP(-$C$10*$C$8)*R80</f>
        <v>522406708.84104872</v>
      </c>
      <c r="P80" s="18"/>
      <c r="Q80" s="24">
        <f t="shared" ref="Q80:Q90" si="44">NORMSDIST(S80)</f>
        <v>0.98500447613023512</v>
      </c>
      <c r="R80" s="24">
        <f t="shared" ref="R80:R90" si="45">NORMSDIST(T80)</f>
        <v>0.93746210476491143</v>
      </c>
      <c r="S80" s="24">
        <f t="shared" ref="S80:S90" si="46">(LN($C$7/B80)+($C$10+$C$9*$C$9/2)*$C$8)/($C$9*SQRT($C$8))</f>
        <v>2.1702085886606506</v>
      </c>
      <c r="T80" s="24">
        <f t="shared" ref="T80:T90" si="47">S80-$C$9*SQRT($C$8)</f>
        <v>1.5338124855927577</v>
      </c>
      <c r="V80" s="24">
        <f t="shared" si="42"/>
        <v>5.9403086880659428E-3</v>
      </c>
    </row>
    <row r="81" spans="2:22" x14ac:dyDescent="0.25">
      <c r="B81" s="19">
        <f t="shared" si="37"/>
        <v>272500000</v>
      </c>
      <c r="C81" s="19">
        <f t="shared" si="37"/>
        <v>282500000</v>
      </c>
      <c r="E81" s="19">
        <f t="shared" si="40"/>
        <v>8442952.9617477655</v>
      </c>
      <c r="G81" s="19">
        <f t="shared" si="41"/>
        <v>0</v>
      </c>
      <c r="H81" s="19">
        <f t="shared" si="41"/>
        <v>0</v>
      </c>
      <c r="I81" s="19">
        <f t="shared" si="41"/>
        <v>8442952.9617477655</v>
      </c>
      <c r="J81" s="19">
        <f t="shared" si="41"/>
        <v>0</v>
      </c>
      <c r="K81" s="19">
        <f t="shared" si="41"/>
        <v>0</v>
      </c>
      <c r="L81" s="19">
        <f t="shared" si="41"/>
        <v>0</v>
      </c>
      <c r="M81" s="19">
        <f t="shared" si="41"/>
        <v>0</v>
      </c>
      <c r="O81" s="19">
        <f t="shared" si="43"/>
        <v>503123626.11932468</v>
      </c>
      <c r="P81" s="18"/>
      <c r="Q81" s="24">
        <f t="shared" si="44"/>
        <v>0.97906416744216918</v>
      </c>
      <c r="R81" s="24">
        <f t="shared" si="45"/>
        <v>0.9190031032797934</v>
      </c>
      <c r="S81" s="24">
        <f t="shared" si="46"/>
        <v>2.0347934033293558</v>
      </c>
      <c r="T81" s="24">
        <f t="shared" si="47"/>
        <v>1.3983973002614629</v>
      </c>
      <c r="V81" s="24">
        <f t="shared" si="42"/>
        <v>3.0193784538140589E-3</v>
      </c>
    </row>
    <row r="82" spans="2:22" x14ac:dyDescent="0.25">
      <c r="B82" s="19">
        <f t="shared" si="37"/>
        <v>282500000</v>
      </c>
      <c r="C82" s="19">
        <f t="shared" si="37"/>
        <v>286250000</v>
      </c>
      <c r="E82" s="19">
        <f t="shared" si="40"/>
        <v>3144819.1063241959</v>
      </c>
      <c r="G82" s="19">
        <f t="shared" si="41"/>
        <v>0</v>
      </c>
      <c r="H82" s="19">
        <f t="shared" si="41"/>
        <v>3144819.1063241959</v>
      </c>
      <c r="I82" s="19">
        <f t="shared" si="41"/>
        <v>0</v>
      </c>
      <c r="J82" s="19">
        <f t="shared" si="41"/>
        <v>0</v>
      </c>
      <c r="K82" s="19">
        <f t="shared" si="41"/>
        <v>0</v>
      </c>
      <c r="L82" s="19">
        <f t="shared" si="41"/>
        <v>0</v>
      </c>
      <c r="M82" s="19">
        <f t="shared" si="41"/>
        <v>0</v>
      </c>
      <c r="O82" s="19">
        <f t="shared" si="43"/>
        <v>494680673.15757692</v>
      </c>
      <c r="P82" s="18"/>
      <c r="Q82" s="24">
        <f t="shared" si="44"/>
        <v>0.97604478898835512</v>
      </c>
      <c r="R82" s="24">
        <f t="shared" si="45"/>
        <v>0.91016406080218804</v>
      </c>
      <c r="S82" s="24">
        <f t="shared" si="46"/>
        <v>1.9781621067053541</v>
      </c>
      <c r="T82" s="24">
        <f t="shared" si="47"/>
        <v>1.3417660036374612</v>
      </c>
      <c r="V82" s="24">
        <f t="shared" si="42"/>
        <v>1.1926259636169112E-3</v>
      </c>
    </row>
    <row r="83" spans="2:22" x14ac:dyDescent="0.25">
      <c r="B83" s="19">
        <f t="shared" si="37"/>
        <v>286250000</v>
      </c>
      <c r="C83" s="19">
        <f t="shared" si="37"/>
        <v>287250000</v>
      </c>
      <c r="E83" s="19">
        <f t="shared" si="40"/>
        <v>836619.07329624891</v>
      </c>
      <c r="G83" s="19">
        <f t="shared" si="41"/>
        <v>836619.07329624891</v>
      </c>
      <c r="H83" s="19">
        <f t="shared" si="41"/>
        <v>0</v>
      </c>
      <c r="I83" s="19">
        <f t="shared" si="41"/>
        <v>0</v>
      </c>
      <c r="J83" s="19">
        <f t="shared" si="41"/>
        <v>0</v>
      </c>
      <c r="K83" s="19">
        <f t="shared" si="41"/>
        <v>0</v>
      </c>
      <c r="L83" s="19">
        <f t="shared" si="41"/>
        <v>0</v>
      </c>
      <c r="M83" s="19">
        <f t="shared" si="41"/>
        <v>0</v>
      </c>
      <c r="O83" s="19">
        <f t="shared" si="43"/>
        <v>491535854.05125272</v>
      </c>
      <c r="P83" s="18"/>
      <c r="Q83" s="24">
        <f t="shared" si="44"/>
        <v>0.97485216302473821</v>
      </c>
      <c r="R83" s="24">
        <f t="shared" si="45"/>
        <v>0.90675675749329787</v>
      </c>
      <c r="S83" s="24">
        <f t="shared" si="46"/>
        <v>1.9574407285913418</v>
      </c>
      <c r="T83" s="24">
        <f t="shared" si="47"/>
        <v>1.3210446255234489</v>
      </c>
      <c r="V83" s="24">
        <f t="shared" si="42"/>
        <v>3.2358839167367925E-4</v>
      </c>
    </row>
    <row r="84" spans="2:22" x14ac:dyDescent="0.25">
      <c r="B84" s="19">
        <f t="shared" si="37"/>
        <v>287250000</v>
      </c>
      <c r="C84" s="19">
        <f t="shared" si="37"/>
        <v>295250000</v>
      </c>
      <c r="E84" s="19">
        <f t="shared" si="40"/>
        <v>6662166.7057515979</v>
      </c>
      <c r="G84" s="19">
        <f t="shared" si="41"/>
        <v>0</v>
      </c>
      <c r="H84" s="19">
        <f t="shared" si="41"/>
        <v>0</v>
      </c>
      <c r="I84" s="19">
        <f t="shared" si="41"/>
        <v>0</v>
      </c>
      <c r="J84" s="19">
        <f t="shared" si="41"/>
        <v>0</v>
      </c>
      <c r="K84" s="19">
        <f t="shared" si="41"/>
        <v>0</v>
      </c>
      <c r="L84" s="19">
        <f t="shared" si="41"/>
        <v>0</v>
      </c>
      <c r="M84" s="19">
        <f t="shared" si="41"/>
        <v>6662166.7057515979</v>
      </c>
      <c r="O84" s="19">
        <f t="shared" si="43"/>
        <v>490699234.97795647</v>
      </c>
      <c r="P84" s="18"/>
      <c r="Q84" s="24">
        <f t="shared" si="44"/>
        <v>0.97452857463306453</v>
      </c>
      <c r="R84" s="24">
        <f t="shared" si="45"/>
        <v>0.90583991685001297</v>
      </c>
      <c r="S84" s="24">
        <f t="shared" si="46"/>
        <v>1.9519608681025611</v>
      </c>
      <c r="T84" s="24">
        <f t="shared" si="47"/>
        <v>1.3155647650346682</v>
      </c>
      <c r="V84" s="24">
        <f t="shared" si="42"/>
        <v>2.6727390449331478E-3</v>
      </c>
    </row>
    <row r="85" spans="2:22" x14ac:dyDescent="0.25">
      <c r="B85" s="19">
        <f t="shared" si="37"/>
        <v>295250000</v>
      </c>
      <c r="C85" s="19">
        <f t="shared" si="37"/>
        <v>308750000</v>
      </c>
      <c r="E85" s="19">
        <f t="shared" si="40"/>
        <v>11115063.293364763</v>
      </c>
      <c r="G85" s="19">
        <f t="shared" si="41"/>
        <v>1235007.0325960848</v>
      </c>
      <c r="H85" s="19">
        <f t="shared" si="41"/>
        <v>0</v>
      </c>
      <c r="I85" s="19">
        <f t="shared" si="41"/>
        <v>0</v>
      </c>
      <c r="J85" s="19">
        <f t="shared" si="41"/>
        <v>0</v>
      </c>
      <c r="K85" s="19">
        <f t="shared" si="41"/>
        <v>0</v>
      </c>
      <c r="L85" s="19">
        <f t="shared" si="41"/>
        <v>0</v>
      </c>
      <c r="M85" s="19">
        <f t="shared" si="41"/>
        <v>9880056.260768678</v>
      </c>
      <c r="O85" s="19">
        <f t="shared" si="43"/>
        <v>484037068.27220488</v>
      </c>
      <c r="P85" s="18"/>
      <c r="Q85" s="24">
        <f t="shared" si="44"/>
        <v>0.97185583558813138</v>
      </c>
      <c r="R85" s="24">
        <f t="shared" si="45"/>
        <v>0.89838458058667936</v>
      </c>
      <c r="S85" s="24">
        <f t="shared" si="46"/>
        <v>1.9087966528973088</v>
      </c>
      <c r="T85" s="24">
        <f t="shared" si="47"/>
        <v>1.272400549829416</v>
      </c>
      <c r="V85" s="24">
        <f t="shared" si="42"/>
        <v>4.8470840363413759E-3</v>
      </c>
    </row>
    <row r="86" spans="2:22" x14ac:dyDescent="0.25">
      <c r="B86" s="19">
        <f t="shared" si="37"/>
        <v>308750000</v>
      </c>
      <c r="C86" s="19">
        <f t="shared" si="37"/>
        <v>335000000</v>
      </c>
      <c r="E86" s="19">
        <f t="shared" si="40"/>
        <v>21132619.805218577</v>
      </c>
      <c r="G86" s="19">
        <f t="shared" si="41"/>
        <v>2012630.4576398644</v>
      </c>
      <c r="H86" s="19">
        <f t="shared" si="41"/>
        <v>3018945.6864597965</v>
      </c>
      <c r="I86" s="19">
        <f t="shared" si="41"/>
        <v>0</v>
      </c>
      <c r="J86" s="19">
        <f t="shared" si="41"/>
        <v>0</v>
      </c>
      <c r="K86" s="19">
        <f t="shared" si="41"/>
        <v>0</v>
      </c>
      <c r="L86" s="19">
        <f t="shared" si="41"/>
        <v>0</v>
      </c>
      <c r="M86" s="19">
        <f t="shared" si="41"/>
        <v>16101043.661118915</v>
      </c>
      <c r="O86" s="19">
        <f t="shared" si="43"/>
        <v>472922004.97884011</v>
      </c>
      <c r="P86" s="18"/>
      <c r="Q86" s="24">
        <f t="shared" si="44"/>
        <v>0.96700875155179</v>
      </c>
      <c r="R86" s="24">
        <f t="shared" si="45"/>
        <v>0.88534660453742864</v>
      </c>
      <c r="S86" s="24">
        <f t="shared" si="46"/>
        <v>1.838542556982542</v>
      </c>
      <c r="T86" s="24">
        <f t="shared" si="47"/>
        <v>1.2021464539146491</v>
      </c>
      <c r="V86" s="24">
        <f t="shared" si="42"/>
        <v>1.0611863601768357E-2</v>
      </c>
    </row>
    <row r="87" spans="2:22" x14ac:dyDescent="0.25">
      <c r="B87" s="19">
        <f t="shared" si="37"/>
        <v>335000000</v>
      </c>
      <c r="C87" s="19">
        <f t="shared" si="37"/>
        <v>397500000</v>
      </c>
      <c r="E87" s="19">
        <f t="shared" si="40"/>
        <v>47572913.155228496</v>
      </c>
      <c r="G87" s="19">
        <f t="shared" si="41"/>
        <v>3805833.0524182799</v>
      </c>
      <c r="H87" s="19">
        <f t="shared" si="41"/>
        <v>5708749.5786274197</v>
      </c>
      <c r="I87" s="19">
        <f t="shared" si="41"/>
        <v>7611666.1048365599</v>
      </c>
      <c r="J87" s="19">
        <f t="shared" si="41"/>
        <v>0</v>
      </c>
      <c r="K87" s="19">
        <f t="shared" si="41"/>
        <v>0</v>
      </c>
      <c r="L87" s="19">
        <f t="shared" si="41"/>
        <v>0</v>
      </c>
      <c r="M87" s="19">
        <f t="shared" si="41"/>
        <v>30446664.419346239</v>
      </c>
      <c r="O87" s="19">
        <f t="shared" si="43"/>
        <v>451789385.17362154</v>
      </c>
      <c r="P87" s="18"/>
      <c r="Q87" s="24">
        <f t="shared" si="44"/>
        <v>0.95639688795002165</v>
      </c>
      <c r="R87" s="24">
        <f t="shared" si="45"/>
        <v>0.85857219981857069</v>
      </c>
      <c r="S87" s="24">
        <f t="shared" si="46"/>
        <v>1.7103226582598525</v>
      </c>
      <c r="T87" s="24">
        <f t="shared" si="47"/>
        <v>1.0739265551919597</v>
      </c>
      <c r="V87" s="24">
        <f t="shared" si="42"/>
        <v>3.1115678928566481E-2</v>
      </c>
    </row>
    <row r="88" spans="2:22" x14ac:dyDescent="0.25">
      <c r="B88" s="19">
        <f t="shared" si="37"/>
        <v>397500000</v>
      </c>
      <c r="C88" s="19">
        <f t="shared" si="37"/>
        <v>840000000</v>
      </c>
      <c r="E88" s="19">
        <f t="shared" si="40"/>
        <v>226251052.83695531</v>
      </c>
      <c r="G88" s="19">
        <f t="shared" si="41"/>
        <v>15339054.429624088</v>
      </c>
      <c r="H88" s="19">
        <f t="shared" si="41"/>
        <v>23008581.644436136</v>
      </c>
      <c r="I88" s="19">
        <f t="shared" si="41"/>
        <v>30678108.859248176</v>
      </c>
      <c r="J88" s="19">
        <f t="shared" si="41"/>
        <v>34512872.466654204</v>
      </c>
      <c r="K88" s="19">
        <f t="shared" si="41"/>
        <v>0</v>
      </c>
      <c r="L88" s="19">
        <f t="shared" si="41"/>
        <v>0</v>
      </c>
      <c r="M88" s="19">
        <f t="shared" si="41"/>
        <v>122712435.4369927</v>
      </c>
      <c r="O88" s="19">
        <f t="shared" si="43"/>
        <v>404216472.01839304</v>
      </c>
      <c r="P88" s="18"/>
      <c r="Q88" s="24">
        <f t="shared" si="44"/>
        <v>0.92528120902145516</v>
      </c>
      <c r="R88" s="24">
        <f t="shared" si="45"/>
        <v>0.78962616124018226</v>
      </c>
      <c r="S88" s="24">
        <f t="shared" si="46"/>
        <v>1.4415208830059423</v>
      </c>
      <c r="T88" s="24">
        <f t="shared" si="47"/>
        <v>0.80512477993804943</v>
      </c>
      <c r="V88" s="24">
        <f t="shared" si="42"/>
        <v>0.32046740415574781</v>
      </c>
    </row>
    <row r="89" spans="2:22" x14ac:dyDescent="0.25">
      <c r="B89" s="19">
        <f t="shared" si="37"/>
        <v>840000000</v>
      </c>
      <c r="C89" s="19">
        <f t="shared" si="37"/>
        <v>1012500000</v>
      </c>
      <c r="E89" s="19">
        <f t="shared" si="40"/>
        <v>48014033.807914734</v>
      </c>
      <c r="G89" s="19">
        <f t="shared" si="41"/>
        <v>2783422.2497341875</v>
      </c>
      <c r="H89" s="19">
        <f t="shared" si="41"/>
        <v>4175133.3746012812</v>
      </c>
      <c r="I89" s="19">
        <f t="shared" si="41"/>
        <v>5566844.499468375</v>
      </c>
      <c r="J89" s="19">
        <f t="shared" si="41"/>
        <v>6262700.0619019214</v>
      </c>
      <c r="K89" s="19">
        <f t="shared" si="41"/>
        <v>6958555.6243354687</v>
      </c>
      <c r="L89" s="19">
        <f t="shared" si="41"/>
        <v>0</v>
      </c>
      <c r="M89" s="19">
        <f t="shared" si="41"/>
        <v>22267377.9978735</v>
      </c>
      <c r="O89" s="19">
        <f t="shared" si="43"/>
        <v>177965419.18143773</v>
      </c>
      <c r="P89" s="18"/>
      <c r="Q89" s="24">
        <f t="shared" si="44"/>
        <v>0.60481380486570735</v>
      </c>
      <c r="R89" s="24">
        <f t="shared" si="45"/>
        <v>0.35547927711800653</v>
      </c>
      <c r="S89" s="24">
        <f t="shared" si="46"/>
        <v>0.26582707511480336</v>
      </c>
      <c r="T89" s="24">
        <f t="shared" si="47"/>
        <v>-0.37056902795308949</v>
      </c>
      <c r="V89" s="24">
        <f t="shared" si="42"/>
        <v>0.11584831715631805</v>
      </c>
    </row>
    <row r="90" spans="2:22" x14ac:dyDescent="0.25">
      <c r="B90" s="19">
        <f>B70</f>
        <v>1012500000</v>
      </c>
      <c r="C90" s="19" t="str">
        <f>C70</f>
        <v>and above</v>
      </c>
      <c r="E90" s="19">
        <f t="shared" si="40"/>
        <v>129951385.373523</v>
      </c>
      <c r="G90" s="19">
        <f>$E90*G70</f>
        <v>6417352.3641245924</v>
      </c>
      <c r="H90" s="19">
        <f t="shared" ref="H90:M90" si="48">$E90*H70</f>
        <v>9626028.5461868886</v>
      </c>
      <c r="I90" s="19">
        <f t="shared" si="48"/>
        <v>12834704.728249185</v>
      </c>
      <c r="J90" s="19">
        <f t="shared" si="48"/>
        <v>14439042.819280332</v>
      </c>
      <c r="K90" s="19">
        <f t="shared" si="48"/>
        <v>16043380.910311481</v>
      </c>
      <c r="L90" s="19">
        <f t="shared" si="48"/>
        <v>19252057.092373777</v>
      </c>
      <c r="M90" s="19">
        <f t="shared" si="48"/>
        <v>51338818.912996739</v>
      </c>
      <c r="O90" s="19">
        <f t="shared" si="43"/>
        <v>129951385.373523</v>
      </c>
      <c r="P90" s="18"/>
      <c r="Q90" s="24">
        <f t="shared" si="44"/>
        <v>0.4889654877093893</v>
      </c>
      <c r="R90" s="24">
        <f t="shared" si="45"/>
        <v>0.25332625859717334</v>
      </c>
      <c r="S90" s="24">
        <f t="shared" si="46"/>
        <v>-2.7662948225910197E-2</v>
      </c>
      <c r="T90" s="24">
        <f t="shared" si="47"/>
        <v>-0.66405905129380305</v>
      </c>
      <c r="V90" s="24">
        <f t="shared" si="42"/>
        <v>0.4889654877093893</v>
      </c>
    </row>
    <row r="91" spans="2:22" x14ac:dyDescent="0.25">
      <c r="B91" s="17"/>
      <c r="C91" s="17"/>
      <c r="E91" s="17"/>
      <c r="G91" s="8"/>
      <c r="H91" s="8"/>
      <c r="I91" s="8"/>
      <c r="J91" s="8"/>
      <c r="K91" s="8"/>
      <c r="L91" s="8"/>
      <c r="M91" s="8"/>
      <c r="O91" s="17"/>
      <c r="P91" s="18"/>
      <c r="Q91" s="17"/>
      <c r="R91" s="17"/>
      <c r="S91" s="17"/>
      <c r="T91" s="17"/>
      <c r="V91" s="8"/>
    </row>
    <row r="93" spans="2:22" x14ac:dyDescent="0.25">
      <c r="E93" s="14" t="s">
        <v>54</v>
      </c>
      <c r="G93" s="19">
        <f>SUM(G78:G90)</f>
        <v>32429918.659433346</v>
      </c>
      <c r="H93" s="19">
        <f t="shared" ref="H93:M93" si="49">SUM(H78:H90)</f>
        <v>48682257.936635718</v>
      </c>
      <c r="I93" s="19">
        <f t="shared" si="49"/>
        <v>65134277.153550066</v>
      </c>
      <c r="J93" s="19">
        <f t="shared" si="49"/>
        <v>74497698.069560483</v>
      </c>
      <c r="K93" s="19">
        <f t="shared" si="49"/>
        <v>112369157.80035205</v>
      </c>
      <c r="L93" s="19">
        <f t="shared" si="49"/>
        <v>157478126.98561996</v>
      </c>
      <c r="M93" s="19">
        <f t="shared" si="49"/>
        <v>259408563.39484838</v>
      </c>
    </row>
    <row r="95" spans="2:22" x14ac:dyDescent="0.25">
      <c r="E95" s="14" t="s">
        <v>55</v>
      </c>
      <c r="G95" s="32">
        <f>G93/G8</f>
        <v>324.29918659433343</v>
      </c>
      <c r="H95" s="32">
        <f t="shared" ref="H95:M95" si="50">H93/H8</f>
        <v>324.54838624423815</v>
      </c>
      <c r="I95" s="32">
        <f t="shared" si="50"/>
        <v>325.67138576775034</v>
      </c>
      <c r="J95" s="32">
        <f t="shared" si="50"/>
        <v>331.10088030915773</v>
      </c>
      <c r="K95" s="32">
        <f t="shared" si="50"/>
        <v>449.47663120140822</v>
      </c>
      <c r="L95" s="32">
        <f t="shared" si="50"/>
        <v>524.92708995206658</v>
      </c>
      <c r="M95" s="32">
        <f t="shared" si="50"/>
        <v>324.2607042435605</v>
      </c>
    </row>
    <row r="97" spans="5:13" x14ac:dyDescent="0.25">
      <c r="E97" s="14" t="s">
        <v>78</v>
      </c>
      <c r="G97" s="33">
        <f>$C$9*SUMPRODUCT(G58:G70,$V$78:$V$90)*($C$7/G93)</f>
        <v>0.59269179568841102</v>
      </c>
      <c r="H97" s="33">
        <f t="shared" ref="H97:M97" si="51">$C$9*SUMPRODUCT(H58:H70,$V$78:$V$90)*($C$7/H93)</f>
        <v>0.59153924795984503</v>
      </c>
      <c r="I97" s="33">
        <f t="shared" si="51"/>
        <v>0.58643145586839596</v>
      </c>
      <c r="J97" s="33">
        <f t="shared" si="51"/>
        <v>0.56296429443796658</v>
      </c>
      <c r="K97" s="33">
        <f t="shared" si="51"/>
        <v>0.27234538277835696</v>
      </c>
      <c r="L97" s="33">
        <f t="shared" si="51"/>
        <v>0.15840992420500494</v>
      </c>
      <c r="M97" s="33">
        <f t="shared" si="51"/>
        <v>0.59287146326916318</v>
      </c>
    </row>
    <row r="99" spans="5:13" x14ac:dyDescent="0.25">
      <c r="G99" s="24"/>
      <c r="H99" s="24"/>
      <c r="I99" s="24"/>
      <c r="J99" s="24"/>
      <c r="K99" s="24"/>
      <c r="L99" s="24"/>
      <c r="M99" s="24"/>
    </row>
    <row r="101" spans="5:13" x14ac:dyDescent="0.25">
      <c r="G101" s="22"/>
      <c r="H101" s="22"/>
      <c r="I101" s="22"/>
      <c r="J101" s="22"/>
      <c r="K101" s="22"/>
      <c r="L101" s="22"/>
      <c r="M101" s="22"/>
    </row>
  </sheetData>
  <mergeCells count="4">
    <mergeCell ref="B15:C15"/>
    <mergeCell ref="B35:C35"/>
    <mergeCell ref="B55:C55"/>
    <mergeCell ref="B75:C7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DCB01-A822-4C61-843E-01E1E37FEF85}">
  <dimension ref="B5:V103"/>
  <sheetViews>
    <sheetView showGridLines="0" tabSelected="1" zoomScale="85" zoomScaleNormal="85" workbookViewId="0">
      <selection activeCell="C7" sqref="C7"/>
    </sheetView>
  </sheetViews>
  <sheetFormatPr defaultRowHeight="15" x14ac:dyDescent="0.25"/>
  <cols>
    <col min="2" max="3" width="17.140625" customWidth="1"/>
    <col min="4" max="4" width="2.85546875" customWidth="1"/>
    <col min="5" max="5" width="17.140625" customWidth="1"/>
    <col min="6" max="6" width="2.85546875" customWidth="1"/>
    <col min="7" max="13" width="17.140625" customWidth="1"/>
    <col min="15" max="15" width="17.140625" customWidth="1"/>
  </cols>
  <sheetData>
    <row r="5" spans="2:14" x14ac:dyDescent="0.25">
      <c r="B5" s="9" t="s">
        <v>33</v>
      </c>
      <c r="C5" s="9"/>
      <c r="G5" s="9" t="s">
        <v>9</v>
      </c>
      <c r="H5" s="9" t="s">
        <v>10</v>
      </c>
      <c r="I5" s="9" t="s">
        <v>11</v>
      </c>
      <c r="J5" s="9" t="s">
        <v>12</v>
      </c>
      <c r="K5" s="9" t="s">
        <v>13</v>
      </c>
      <c r="L5" s="9" t="s">
        <v>14</v>
      </c>
      <c r="M5" s="9" t="s">
        <v>15</v>
      </c>
    </row>
    <row r="6" spans="2:14" x14ac:dyDescent="0.25">
      <c r="B6" s="6"/>
      <c r="C6" s="6"/>
      <c r="G6" s="6"/>
      <c r="H6" s="6"/>
      <c r="I6" s="6"/>
      <c r="J6" s="6"/>
      <c r="K6" s="6"/>
      <c r="L6" s="6"/>
      <c r="M6" s="6"/>
    </row>
    <row r="7" spans="2:14" x14ac:dyDescent="0.25">
      <c r="B7" t="s">
        <v>34</v>
      </c>
      <c r="C7" s="7">
        <v>639220356.84560394</v>
      </c>
      <c r="G7" s="11">
        <f>'1.a Capital Structure'!D2</f>
        <v>6</v>
      </c>
      <c r="H7" s="11">
        <f>'1.a Capital Structure'!D3</f>
        <v>5</v>
      </c>
      <c r="I7" s="11">
        <f>'1.a Capital Structure'!D4</f>
        <v>4</v>
      </c>
      <c r="J7" s="11">
        <f>'1.a Capital Structure'!D5</f>
        <v>3</v>
      </c>
      <c r="K7" s="11">
        <f>'1.a Capital Structure'!D6</f>
        <v>2</v>
      </c>
      <c r="L7" s="11">
        <f>'1.a Capital Structure'!D7</f>
        <v>1</v>
      </c>
      <c r="M7" s="11"/>
      <c r="N7" s="11" t="s">
        <v>37</v>
      </c>
    </row>
    <row r="8" spans="2:14" x14ac:dyDescent="0.25">
      <c r="B8" t="s">
        <v>47</v>
      </c>
      <c r="C8">
        <v>2</v>
      </c>
      <c r="G8" s="12">
        <f>'1.a Capital Structure'!C2</f>
        <v>100000</v>
      </c>
      <c r="H8" s="12">
        <f>'1.a Capital Structure'!C3</f>
        <v>150000</v>
      </c>
      <c r="I8" s="12">
        <f>'1.a Capital Structure'!C4</f>
        <v>200000</v>
      </c>
      <c r="J8" s="12">
        <f>'1.a Capital Structure'!C5</f>
        <v>225000</v>
      </c>
      <c r="K8" s="12">
        <f>'1.a Capital Structure'!C6</f>
        <v>250000</v>
      </c>
      <c r="L8" s="12">
        <f>'1.a Capital Structure'!C7</f>
        <v>300000</v>
      </c>
      <c r="M8" s="12">
        <f>'1.a Capital Structure'!C8</f>
        <v>800000</v>
      </c>
      <c r="N8" s="11" t="s">
        <v>38</v>
      </c>
    </row>
    <row r="9" spans="2:14" x14ac:dyDescent="0.25">
      <c r="B9" t="s">
        <v>35</v>
      </c>
      <c r="C9" s="23">
        <v>0.45</v>
      </c>
      <c r="G9" s="13">
        <f>'1.a Capital Structure'!E2</f>
        <v>10</v>
      </c>
      <c r="H9" s="13">
        <f>'1.a Capital Structure'!E3</f>
        <v>25</v>
      </c>
      <c r="I9" s="13">
        <f>'1.a Capital Structure'!E4</f>
        <v>50</v>
      </c>
      <c r="J9" s="13">
        <f>'1.a Capital Structure'!E5</f>
        <v>100</v>
      </c>
      <c r="K9" s="13">
        <f>'1.a Capital Structure'!E6</f>
        <v>400</v>
      </c>
      <c r="L9" s="13">
        <f>'1.a Capital Structure'!E7</f>
        <v>500</v>
      </c>
      <c r="M9" s="11"/>
      <c r="N9" s="11" t="s">
        <v>40</v>
      </c>
    </row>
    <row r="10" spans="2:14" x14ac:dyDescent="0.25">
      <c r="B10" t="s">
        <v>36</v>
      </c>
      <c r="C10" s="23">
        <v>0.04</v>
      </c>
      <c r="G10" s="13">
        <f>G8*G9</f>
        <v>1000000</v>
      </c>
      <c r="H10" s="13">
        <f t="shared" ref="H10:L10" si="0">H8*H9</f>
        <v>3750000</v>
      </c>
      <c r="I10" s="13">
        <f t="shared" si="0"/>
        <v>10000000</v>
      </c>
      <c r="J10" s="13">
        <f t="shared" si="0"/>
        <v>22500000</v>
      </c>
      <c r="K10" s="13">
        <f t="shared" si="0"/>
        <v>100000000</v>
      </c>
      <c r="L10" s="13">
        <f t="shared" si="0"/>
        <v>150000000</v>
      </c>
      <c r="M10" s="11"/>
      <c r="N10" s="11" t="s">
        <v>39</v>
      </c>
    </row>
    <row r="11" spans="2:14" x14ac:dyDescent="0.25">
      <c r="B11" s="8"/>
      <c r="C11" s="8"/>
      <c r="G11" s="10"/>
      <c r="H11" s="10"/>
      <c r="I11" s="10"/>
      <c r="J11" s="10"/>
      <c r="K11" s="10"/>
      <c r="L11" s="10"/>
      <c r="M11" s="8"/>
    </row>
    <row r="15" spans="2:14" x14ac:dyDescent="0.25">
      <c r="B15" s="31" t="s">
        <v>41</v>
      </c>
      <c r="C15" s="31"/>
      <c r="E15" s="16"/>
      <c r="G15" s="16"/>
      <c r="H15" s="16"/>
      <c r="I15" s="16"/>
      <c r="J15" s="16"/>
      <c r="K15" s="16"/>
      <c r="L15" s="16"/>
      <c r="M15" s="16"/>
    </row>
    <row r="16" spans="2:14" x14ac:dyDescent="0.25">
      <c r="B16" s="17" t="s">
        <v>17</v>
      </c>
      <c r="C16" s="17" t="s">
        <v>18</v>
      </c>
      <c r="E16" s="17"/>
      <c r="G16" s="21" t="str">
        <f t="shared" ref="G16:M16" si="1">G5</f>
        <v>Series A Preferred</v>
      </c>
      <c r="H16" s="21" t="str">
        <f t="shared" si="1"/>
        <v>Series B Preferred</v>
      </c>
      <c r="I16" s="21" t="str">
        <f t="shared" si="1"/>
        <v>Series C Preferred</v>
      </c>
      <c r="J16" s="21" t="str">
        <f t="shared" si="1"/>
        <v>Series D Preferred</v>
      </c>
      <c r="K16" s="21" t="str">
        <f t="shared" si="1"/>
        <v>Series E Preferred</v>
      </c>
      <c r="L16" s="21" t="str">
        <f t="shared" si="1"/>
        <v>Series F Preferred</v>
      </c>
      <c r="M16" s="21" t="str">
        <f t="shared" si="1"/>
        <v>Common</v>
      </c>
    </row>
    <row r="17" spans="2:13" x14ac:dyDescent="0.25">
      <c r="B17" s="18"/>
      <c r="C17" s="18"/>
      <c r="E17" s="18"/>
      <c r="G17" s="18"/>
      <c r="H17" s="18"/>
      <c r="I17" s="18"/>
      <c r="J17" s="18"/>
      <c r="K17" s="18"/>
      <c r="L17" s="18"/>
      <c r="M17" s="18"/>
    </row>
    <row r="18" spans="2:13" x14ac:dyDescent="0.25">
      <c r="B18" s="19">
        <v>0</v>
      </c>
      <c r="C18" s="19">
        <f>B18+SUM(G18:L18)</f>
        <v>150000000</v>
      </c>
      <c r="E18" s="18"/>
      <c r="G18" s="18"/>
      <c r="H18" s="18"/>
      <c r="I18" s="18"/>
      <c r="J18" s="18"/>
      <c r="K18" s="18"/>
      <c r="L18" s="19">
        <f>L10</f>
        <v>150000000</v>
      </c>
      <c r="M18" s="18"/>
    </row>
    <row r="19" spans="2:13" x14ac:dyDescent="0.25">
      <c r="B19" s="19">
        <f>C18</f>
        <v>150000000</v>
      </c>
      <c r="C19" s="19">
        <f t="shared" ref="C19:C23" si="2">B19+SUM(G19:L19)</f>
        <v>250000000</v>
      </c>
      <c r="E19" s="18"/>
      <c r="G19" s="18"/>
      <c r="H19" s="18"/>
      <c r="I19" s="18"/>
      <c r="J19" s="18"/>
      <c r="K19" s="19">
        <f>K10</f>
        <v>100000000</v>
      </c>
      <c r="L19" s="18"/>
      <c r="M19" s="18"/>
    </row>
    <row r="20" spans="2:13" x14ac:dyDescent="0.25">
      <c r="B20" s="19">
        <f t="shared" ref="B20:B30" si="3">C19</f>
        <v>250000000</v>
      </c>
      <c r="C20" s="19">
        <f t="shared" si="2"/>
        <v>272500000</v>
      </c>
      <c r="E20" s="18"/>
      <c r="G20" s="18"/>
      <c r="H20" s="18"/>
      <c r="I20" s="18"/>
      <c r="J20" s="19">
        <f>J10</f>
        <v>22500000</v>
      </c>
      <c r="K20" s="18"/>
      <c r="L20" s="18"/>
      <c r="M20" s="18"/>
    </row>
    <row r="21" spans="2:13" x14ac:dyDescent="0.25">
      <c r="B21" s="19">
        <f t="shared" si="3"/>
        <v>272500000</v>
      </c>
      <c r="C21" s="19">
        <f t="shared" si="2"/>
        <v>282500000</v>
      </c>
      <c r="E21" s="18"/>
      <c r="G21" s="18"/>
      <c r="H21" s="18"/>
      <c r="I21" s="19">
        <f>I10</f>
        <v>10000000</v>
      </c>
      <c r="J21" s="18"/>
      <c r="K21" s="18"/>
      <c r="L21" s="18"/>
      <c r="M21" s="18"/>
    </row>
    <row r="22" spans="2:13" x14ac:dyDescent="0.25">
      <c r="B22" s="19">
        <f t="shared" si="3"/>
        <v>282500000</v>
      </c>
      <c r="C22" s="19">
        <f t="shared" si="2"/>
        <v>286250000</v>
      </c>
      <c r="E22" s="18"/>
      <c r="G22" s="18"/>
      <c r="H22" s="19">
        <f>H10</f>
        <v>3750000</v>
      </c>
      <c r="I22" s="18"/>
      <c r="J22" s="18"/>
      <c r="K22" s="18"/>
      <c r="L22" s="18"/>
      <c r="M22" s="18"/>
    </row>
    <row r="23" spans="2:13" x14ac:dyDescent="0.25">
      <c r="B23" s="19">
        <f t="shared" si="3"/>
        <v>286250000</v>
      </c>
      <c r="C23" s="19">
        <f t="shared" si="2"/>
        <v>287250000</v>
      </c>
      <c r="E23" s="18"/>
      <c r="G23" s="19">
        <f>G10</f>
        <v>1000000</v>
      </c>
      <c r="H23" s="18"/>
      <c r="I23" s="18"/>
      <c r="J23" s="18"/>
      <c r="K23" s="18"/>
      <c r="L23" s="18"/>
      <c r="M23" s="18"/>
    </row>
    <row r="24" spans="2:13" x14ac:dyDescent="0.25">
      <c r="B24" s="19">
        <f t="shared" si="3"/>
        <v>287250000</v>
      </c>
      <c r="C24" s="19">
        <f>B24+(E24-E23)*SUM(G24:M24)</f>
        <v>295250000</v>
      </c>
      <c r="E24" s="19">
        <f>G9</f>
        <v>10</v>
      </c>
      <c r="G24" s="18"/>
      <c r="H24" s="18"/>
      <c r="I24" s="18"/>
      <c r="J24" s="18"/>
      <c r="K24" s="18"/>
      <c r="L24" s="18"/>
      <c r="M24" s="20">
        <f>M$8</f>
        <v>800000</v>
      </c>
    </row>
    <row r="25" spans="2:13" x14ac:dyDescent="0.25">
      <c r="B25" s="19">
        <f t="shared" si="3"/>
        <v>295250000</v>
      </c>
      <c r="C25" s="19">
        <f t="shared" ref="C25:C29" si="4">B25+(E25-E24)*SUM(G25:M25)</f>
        <v>308750000</v>
      </c>
      <c r="E25" s="19">
        <f>H9</f>
        <v>25</v>
      </c>
      <c r="G25" s="20">
        <f>G$8</f>
        <v>100000</v>
      </c>
      <c r="H25" s="18"/>
      <c r="I25" s="18"/>
      <c r="J25" s="18"/>
      <c r="K25" s="18"/>
      <c r="L25" s="18"/>
      <c r="M25" s="20">
        <f>M$8</f>
        <v>800000</v>
      </c>
    </row>
    <row r="26" spans="2:13" x14ac:dyDescent="0.25">
      <c r="B26" s="19">
        <f t="shared" si="3"/>
        <v>308750000</v>
      </c>
      <c r="C26" s="19">
        <f t="shared" si="4"/>
        <v>335000000</v>
      </c>
      <c r="E26" s="19">
        <f>I9</f>
        <v>50</v>
      </c>
      <c r="G26" s="20">
        <f t="shared" ref="G26:M30" si="5">G$8</f>
        <v>100000</v>
      </c>
      <c r="H26" s="20">
        <f t="shared" si="5"/>
        <v>150000</v>
      </c>
      <c r="I26" s="18"/>
      <c r="J26" s="18"/>
      <c r="K26" s="18"/>
      <c r="L26" s="18"/>
      <c r="M26" s="20">
        <f>M$8</f>
        <v>800000</v>
      </c>
    </row>
    <row r="27" spans="2:13" x14ac:dyDescent="0.25">
      <c r="B27" s="19">
        <f t="shared" si="3"/>
        <v>335000000</v>
      </c>
      <c r="C27" s="19">
        <f t="shared" si="4"/>
        <v>397500000</v>
      </c>
      <c r="E27" s="19">
        <f>J9</f>
        <v>100</v>
      </c>
      <c r="G27" s="20">
        <f t="shared" si="5"/>
        <v>100000</v>
      </c>
      <c r="H27" s="20">
        <f t="shared" si="5"/>
        <v>150000</v>
      </c>
      <c r="I27" s="20">
        <f t="shared" si="5"/>
        <v>200000</v>
      </c>
      <c r="J27" s="18"/>
      <c r="K27" s="18"/>
      <c r="L27" s="18"/>
      <c r="M27" s="20">
        <f t="shared" ref="M27:M28" si="6">M$8</f>
        <v>800000</v>
      </c>
    </row>
    <row r="28" spans="2:13" x14ac:dyDescent="0.25">
      <c r="B28" s="19">
        <f t="shared" si="3"/>
        <v>397500000</v>
      </c>
      <c r="C28" s="19">
        <f t="shared" si="4"/>
        <v>840000000</v>
      </c>
      <c r="E28" s="19">
        <f>K9</f>
        <v>400</v>
      </c>
      <c r="G28" s="20">
        <f t="shared" si="5"/>
        <v>100000</v>
      </c>
      <c r="H28" s="20">
        <f t="shared" si="5"/>
        <v>150000</v>
      </c>
      <c r="I28" s="20">
        <f t="shared" si="5"/>
        <v>200000</v>
      </c>
      <c r="J28" s="20">
        <f t="shared" si="5"/>
        <v>225000</v>
      </c>
      <c r="K28" s="18"/>
      <c r="L28" s="18"/>
      <c r="M28" s="20">
        <f t="shared" si="6"/>
        <v>800000</v>
      </c>
    </row>
    <row r="29" spans="2:13" x14ac:dyDescent="0.25">
      <c r="B29" s="19">
        <f t="shared" si="3"/>
        <v>840000000</v>
      </c>
      <c r="C29" s="19">
        <f t="shared" si="4"/>
        <v>1012500000</v>
      </c>
      <c r="E29" s="19">
        <f>L9</f>
        <v>500</v>
      </c>
      <c r="G29" s="20">
        <f t="shared" si="5"/>
        <v>100000</v>
      </c>
      <c r="H29" s="20">
        <f t="shared" si="5"/>
        <v>150000</v>
      </c>
      <c r="I29" s="20">
        <f t="shared" si="5"/>
        <v>200000</v>
      </c>
      <c r="J29" s="20">
        <f t="shared" si="5"/>
        <v>225000</v>
      </c>
      <c r="K29" s="20">
        <f t="shared" si="5"/>
        <v>250000</v>
      </c>
      <c r="L29" s="18"/>
      <c r="M29" s="20">
        <f t="shared" si="5"/>
        <v>800000</v>
      </c>
    </row>
    <row r="30" spans="2:13" x14ac:dyDescent="0.25">
      <c r="B30" s="19">
        <f t="shared" si="3"/>
        <v>1012500000</v>
      </c>
      <c r="C30" s="19" t="s">
        <v>19</v>
      </c>
      <c r="E30" s="18"/>
      <c r="G30" s="20">
        <f t="shared" si="5"/>
        <v>100000</v>
      </c>
      <c r="H30" s="20">
        <f t="shared" si="5"/>
        <v>150000</v>
      </c>
      <c r="I30" s="20">
        <f t="shared" si="5"/>
        <v>200000</v>
      </c>
      <c r="J30" s="20">
        <f t="shared" si="5"/>
        <v>225000</v>
      </c>
      <c r="K30" s="20">
        <f t="shared" si="5"/>
        <v>250000</v>
      </c>
      <c r="L30" s="20">
        <f t="shared" si="5"/>
        <v>300000</v>
      </c>
      <c r="M30" s="20">
        <f t="shared" si="5"/>
        <v>800000</v>
      </c>
    </row>
    <row r="31" spans="2:13" x14ac:dyDescent="0.25">
      <c r="B31" s="17"/>
      <c r="C31" s="17"/>
      <c r="E31" s="17"/>
      <c r="G31" s="17"/>
      <c r="H31" s="17"/>
      <c r="I31" s="17"/>
      <c r="J31" s="17"/>
      <c r="K31" s="17"/>
      <c r="L31" s="17"/>
      <c r="M31" s="17"/>
    </row>
    <row r="35" spans="2:13" x14ac:dyDescent="0.25">
      <c r="B35" s="31" t="s">
        <v>41</v>
      </c>
      <c r="C35" s="31"/>
      <c r="D35" s="18"/>
      <c r="E35" s="15" t="s">
        <v>42</v>
      </c>
      <c r="G35" s="6"/>
      <c r="H35" s="6"/>
      <c r="I35" s="6"/>
      <c r="J35" s="6"/>
      <c r="K35" s="6"/>
      <c r="L35" s="6"/>
      <c r="M35" s="6"/>
    </row>
    <row r="36" spans="2:13" x14ac:dyDescent="0.25">
      <c r="B36" s="17" t="str">
        <f>B16</f>
        <v xml:space="preserve">From </v>
      </c>
      <c r="C36" s="17" t="str">
        <f>C16</f>
        <v>To</v>
      </c>
      <c r="D36" s="18"/>
      <c r="E36" s="21" t="s">
        <v>43</v>
      </c>
      <c r="G36" s="8"/>
      <c r="H36" s="8"/>
      <c r="I36" s="8"/>
      <c r="J36" s="8"/>
      <c r="K36" s="8"/>
      <c r="L36" s="8"/>
      <c r="M36" s="8"/>
    </row>
    <row r="37" spans="2:13" x14ac:dyDescent="0.25">
      <c r="B37" s="18"/>
      <c r="C37" s="18"/>
      <c r="D37" s="18"/>
      <c r="E37" s="18"/>
    </row>
    <row r="38" spans="2:13" x14ac:dyDescent="0.25">
      <c r="B38" s="18">
        <f t="shared" ref="B38:C50" si="7">B18</f>
        <v>0</v>
      </c>
      <c r="C38" s="19">
        <f t="shared" si="7"/>
        <v>150000000</v>
      </c>
      <c r="D38" s="18"/>
      <c r="E38" s="19">
        <f>C38-B38</f>
        <v>150000000</v>
      </c>
      <c r="G38" t="s">
        <v>20</v>
      </c>
      <c r="L38" s="7"/>
    </row>
    <row r="39" spans="2:13" x14ac:dyDescent="0.25">
      <c r="B39" s="19">
        <f t="shared" si="7"/>
        <v>150000000</v>
      </c>
      <c r="C39" s="19">
        <f t="shared" si="7"/>
        <v>250000000</v>
      </c>
      <c r="D39" s="18"/>
      <c r="E39" s="19">
        <f t="shared" ref="E39:E49" si="8">C39-B39</f>
        <v>100000000</v>
      </c>
      <c r="G39" t="s">
        <v>21</v>
      </c>
      <c r="K39" s="7"/>
    </row>
    <row r="40" spans="2:13" x14ac:dyDescent="0.25">
      <c r="B40" s="19">
        <f t="shared" si="7"/>
        <v>250000000</v>
      </c>
      <c r="C40" s="19">
        <f t="shared" si="7"/>
        <v>272500000</v>
      </c>
      <c r="D40" s="18"/>
      <c r="E40" s="19">
        <f t="shared" si="8"/>
        <v>22500000</v>
      </c>
      <c r="G40" t="s">
        <v>22</v>
      </c>
      <c r="J40" s="7"/>
    </row>
    <row r="41" spans="2:13" x14ac:dyDescent="0.25">
      <c r="B41" s="19">
        <f t="shared" si="7"/>
        <v>272500000</v>
      </c>
      <c r="C41" s="19">
        <f t="shared" si="7"/>
        <v>282500000</v>
      </c>
      <c r="D41" s="18"/>
      <c r="E41" s="19">
        <f t="shared" si="8"/>
        <v>10000000</v>
      </c>
      <c r="G41" t="s">
        <v>23</v>
      </c>
      <c r="I41" s="7"/>
    </row>
    <row r="42" spans="2:13" x14ac:dyDescent="0.25">
      <c r="B42" s="19">
        <f t="shared" si="7"/>
        <v>282500000</v>
      </c>
      <c r="C42" s="19">
        <f t="shared" si="7"/>
        <v>286250000</v>
      </c>
      <c r="D42" s="18"/>
      <c r="E42" s="19">
        <f t="shared" si="8"/>
        <v>3750000</v>
      </c>
      <c r="G42" t="s">
        <v>24</v>
      </c>
      <c r="H42" s="7"/>
    </row>
    <row r="43" spans="2:13" x14ac:dyDescent="0.25">
      <c r="B43" s="19">
        <f t="shared" si="7"/>
        <v>286250000</v>
      </c>
      <c r="C43" s="19">
        <f t="shared" si="7"/>
        <v>287250000</v>
      </c>
      <c r="D43" s="18"/>
      <c r="E43" s="19">
        <f t="shared" si="8"/>
        <v>1000000</v>
      </c>
      <c r="G43" s="7" t="s">
        <v>25</v>
      </c>
    </row>
    <row r="44" spans="2:13" x14ac:dyDescent="0.25">
      <c r="B44" s="19">
        <f t="shared" si="7"/>
        <v>287250000</v>
      </c>
      <c r="C44" s="19">
        <f t="shared" si="7"/>
        <v>295250000</v>
      </c>
      <c r="D44" s="18"/>
      <c r="E44" s="19">
        <f t="shared" si="8"/>
        <v>8000000</v>
      </c>
      <c r="G44" t="s">
        <v>26</v>
      </c>
      <c r="M44" s="3"/>
    </row>
    <row r="45" spans="2:13" x14ac:dyDescent="0.25">
      <c r="B45" s="19">
        <f t="shared" si="7"/>
        <v>295250000</v>
      </c>
      <c r="C45" s="19">
        <f t="shared" si="7"/>
        <v>308750000</v>
      </c>
      <c r="D45" s="18"/>
      <c r="E45" s="19">
        <f t="shared" si="8"/>
        <v>13500000</v>
      </c>
      <c r="G45" s="3" t="s">
        <v>27</v>
      </c>
      <c r="M45" s="3"/>
    </row>
    <row r="46" spans="2:13" x14ac:dyDescent="0.25">
      <c r="B46" s="19">
        <f t="shared" si="7"/>
        <v>308750000</v>
      </c>
      <c r="C46" s="19">
        <f t="shared" si="7"/>
        <v>335000000</v>
      </c>
      <c r="D46" s="18"/>
      <c r="E46" s="19">
        <f t="shared" si="8"/>
        <v>26250000</v>
      </c>
      <c r="G46" s="3" t="s">
        <v>28</v>
      </c>
      <c r="H46" s="3"/>
      <c r="M46" s="3"/>
    </row>
    <row r="47" spans="2:13" x14ac:dyDescent="0.25">
      <c r="B47" s="19">
        <f t="shared" si="7"/>
        <v>335000000</v>
      </c>
      <c r="C47" s="19">
        <f t="shared" si="7"/>
        <v>397500000</v>
      </c>
      <c r="D47" s="18"/>
      <c r="E47" s="19">
        <f t="shared" si="8"/>
        <v>62500000</v>
      </c>
      <c r="G47" s="3" t="s">
        <v>29</v>
      </c>
      <c r="H47" s="3"/>
      <c r="I47" s="3"/>
      <c r="M47" s="3"/>
    </row>
    <row r="48" spans="2:13" x14ac:dyDescent="0.25">
      <c r="B48" s="19">
        <f t="shared" si="7"/>
        <v>397500000</v>
      </c>
      <c r="C48" s="19">
        <f t="shared" si="7"/>
        <v>840000000</v>
      </c>
      <c r="D48" s="18"/>
      <c r="E48" s="19">
        <f t="shared" si="8"/>
        <v>442500000</v>
      </c>
      <c r="G48" s="3" t="s">
        <v>30</v>
      </c>
      <c r="H48" s="3"/>
      <c r="I48" s="3"/>
      <c r="J48" s="3"/>
      <c r="M48" s="3"/>
    </row>
    <row r="49" spans="2:13" x14ac:dyDescent="0.25">
      <c r="B49" s="19">
        <f t="shared" si="7"/>
        <v>840000000</v>
      </c>
      <c r="C49" s="19">
        <f t="shared" si="7"/>
        <v>1012500000</v>
      </c>
      <c r="D49" s="18"/>
      <c r="E49" s="19">
        <f t="shared" si="8"/>
        <v>172500000</v>
      </c>
      <c r="G49" s="3" t="s">
        <v>31</v>
      </c>
      <c r="H49" s="3"/>
      <c r="I49" s="3"/>
      <c r="J49" s="3"/>
      <c r="K49" s="3"/>
      <c r="M49" s="3"/>
    </row>
    <row r="50" spans="2:13" x14ac:dyDescent="0.25">
      <c r="B50" s="19">
        <f t="shared" si="7"/>
        <v>1012500000</v>
      </c>
      <c r="C50" s="19" t="str">
        <f t="shared" si="7"/>
        <v>and above</v>
      </c>
      <c r="D50" s="18"/>
      <c r="E50" s="18"/>
      <c r="G50" s="3" t="s">
        <v>32</v>
      </c>
      <c r="H50" s="3"/>
      <c r="I50" s="3"/>
      <c r="J50" s="3"/>
      <c r="K50" s="3"/>
      <c r="L50" s="3"/>
      <c r="M50" s="3"/>
    </row>
    <row r="51" spans="2:13" x14ac:dyDescent="0.25">
      <c r="B51" s="17"/>
      <c r="C51" s="17"/>
      <c r="D51" s="18"/>
      <c r="E51" s="17"/>
      <c r="G51" s="8"/>
      <c r="H51" s="8"/>
      <c r="I51" s="8"/>
      <c r="J51" s="8"/>
      <c r="K51" s="8"/>
      <c r="L51" s="8"/>
      <c r="M51" s="8"/>
    </row>
    <row r="55" spans="2:13" x14ac:dyDescent="0.25">
      <c r="B55" s="31" t="s">
        <v>41</v>
      </c>
      <c r="C55" s="31"/>
      <c r="E55" s="15" t="s">
        <v>44</v>
      </c>
      <c r="G55" s="16"/>
      <c r="H55" s="16"/>
      <c r="I55" s="16"/>
      <c r="J55" s="16"/>
      <c r="K55" s="16"/>
      <c r="L55" s="16"/>
      <c r="M55" s="16"/>
    </row>
    <row r="56" spans="2:13" x14ac:dyDescent="0.25">
      <c r="B56" s="17" t="str">
        <f>B36</f>
        <v xml:space="preserve">From </v>
      </c>
      <c r="C56" s="17" t="str">
        <f>C36</f>
        <v>To</v>
      </c>
      <c r="E56" s="21" t="s">
        <v>45</v>
      </c>
      <c r="G56" s="21" t="str">
        <f>G16</f>
        <v>Series A Preferred</v>
      </c>
      <c r="H56" s="21" t="str">
        <f t="shared" ref="H56:M56" si="9">H16</f>
        <v>Series B Preferred</v>
      </c>
      <c r="I56" s="21" t="str">
        <f t="shared" si="9"/>
        <v>Series C Preferred</v>
      </c>
      <c r="J56" s="21" t="str">
        <f t="shared" si="9"/>
        <v>Series D Preferred</v>
      </c>
      <c r="K56" s="21" t="str">
        <f t="shared" si="9"/>
        <v>Series E Preferred</v>
      </c>
      <c r="L56" s="21" t="str">
        <f t="shared" si="9"/>
        <v>Series F Preferred</v>
      </c>
      <c r="M56" s="21" t="str">
        <f t="shared" si="9"/>
        <v>Common</v>
      </c>
    </row>
    <row r="57" spans="2:13" x14ac:dyDescent="0.25">
      <c r="B57" s="18"/>
      <c r="C57" s="18"/>
      <c r="E57" s="18"/>
      <c r="G57" s="18"/>
      <c r="H57" s="18"/>
      <c r="I57" s="18"/>
      <c r="J57" s="18"/>
      <c r="K57" s="18"/>
      <c r="L57" s="18"/>
      <c r="M57" s="18"/>
    </row>
    <row r="58" spans="2:13" x14ac:dyDescent="0.25">
      <c r="B58" s="18">
        <f t="shared" ref="B58:C70" si="10">B38</f>
        <v>0</v>
      </c>
      <c r="C58" s="19">
        <f t="shared" si="10"/>
        <v>150000000</v>
      </c>
      <c r="E58" s="22">
        <f>SUM(G58:M58)</f>
        <v>1</v>
      </c>
      <c r="G58" s="22">
        <f>G18/SUM($G18:$M18)</f>
        <v>0</v>
      </c>
      <c r="H58" s="22">
        <f t="shared" ref="H58:M58" si="11">H18/SUM($G18:$M18)</f>
        <v>0</v>
      </c>
      <c r="I58" s="22">
        <f t="shared" si="11"/>
        <v>0</v>
      </c>
      <c r="J58" s="22">
        <f t="shared" si="11"/>
        <v>0</v>
      </c>
      <c r="K58" s="22">
        <f t="shared" si="11"/>
        <v>0</v>
      </c>
      <c r="L58" s="22">
        <f t="shared" si="11"/>
        <v>1</v>
      </c>
      <c r="M58" s="22">
        <f t="shared" si="11"/>
        <v>0</v>
      </c>
    </row>
    <row r="59" spans="2:13" x14ac:dyDescent="0.25">
      <c r="B59" s="19">
        <f t="shared" si="10"/>
        <v>150000000</v>
      </c>
      <c r="C59" s="19">
        <f t="shared" si="10"/>
        <v>250000000</v>
      </c>
      <c r="E59" s="22">
        <f t="shared" ref="E59:E70" si="12">SUM(G59:M59)</f>
        <v>1</v>
      </c>
      <c r="G59" s="22">
        <f t="shared" ref="G59:M70" si="13">G19/SUM($G19:$M19)</f>
        <v>0</v>
      </c>
      <c r="H59" s="22">
        <f t="shared" si="13"/>
        <v>0</v>
      </c>
      <c r="I59" s="22">
        <f t="shared" si="13"/>
        <v>0</v>
      </c>
      <c r="J59" s="22">
        <f t="shared" si="13"/>
        <v>0</v>
      </c>
      <c r="K59" s="22">
        <f t="shared" si="13"/>
        <v>1</v>
      </c>
      <c r="L59" s="22">
        <f t="shared" si="13"/>
        <v>0</v>
      </c>
      <c r="M59" s="22">
        <f t="shared" si="13"/>
        <v>0</v>
      </c>
    </row>
    <row r="60" spans="2:13" x14ac:dyDescent="0.25">
      <c r="B60" s="19">
        <f t="shared" si="10"/>
        <v>250000000</v>
      </c>
      <c r="C60" s="19">
        <f t="shared" si="10"/>
        <v>272500000</v>
      </c>
      <c r="E60" s="22">
        <f t="shared" si="12"/>
        <v>1</v>
      </c>
      <c r="G60" s="22">
        <f t="shared" si="13"/>
        <v>0</v>
      </c>
      <c r="H60" s="22">
        <f t="shared" si="13"/>
        <v>0</v>
      </c>
      <c r="I60" s="22">
        <f t="shared" si="13"/>
        <v>0</v>
      </c>
      <c r="J60" s="22">
        <f t="shared" si="13"/>
        <v>1</v>
      </c>
      <c r="K60" s="22">
        <f t="shared" si="13"/>
        <v>0</v>
      </c>
      <c r="L60" s="22">
        <f t="shared" si="13"/>
        <v>0</v>
      </c>
      <c r="M60" s="22">
        <f t="shared" si="13"/>
        <v>0</v>
      </c>
    </row>
    <row r="61" spans="2:13" x14ac:dyDescent="0.25">
      <c r="B61" s="19">
        <f t="shared" si="10"/>
        <v>272500000</v>
      </c>
      <c r="C61" s="19">
        <f t="shared" si="10"/>
        <v>282500000</v>
      </c>
      <c r="E61" s="22">
        <f t="shared" si="12"/>
        <v>1</v>
      </c>
      <c r="G61" s="22">
        <f t="shared" si="13"/>
        <v>0</v>
      </c>
      <c r="H61" s="22">
        <f t="shared" si="13"/>
        <v>0</v>
      </c>
      <c r="I61" s="22">
        <f t="shared" si="13"/>
        <v>1</v>
      </c>
      <c r="J61" s="22">
        <f t="shared" si="13"/>
        <v>0</v>
      </c>
      <c r="K61" s="22">
        <f t="shared" si="13"/>
        <v>0</v>
      </c>
      <c r="L61" s="22">
        <f t="shared" si="13"/>
        <v>0</v>
      </c>
      <c r="M61" s="22">
        <f t="shared" si="13"/>
        <v>0</v>
      </c>
    </row>
    <row r="62" spans="2:13" x14ac:dyDescent="0.25">
      <c r="B62" s="19">
        <f t="shared" si="10"/>
        <v>282500000</v>
      </c>
      <c r="C62" s="19">
        <f t="shared" si="10"/>
        <v>286250000</v>
      </c>
      <c r="E62" s="22">
        <f t="shared" si="12"/>
        <v>1</v>
      </c>
      <c r="G62" s="22">
        <f t="shared" si="13"/>
        <v>0</v>
      </c>
      <c r="H62" s="22">
        <f t="shared" si="13"/>
        <v>1</v>
      </c>
      <c r="I62" s="22">
        <f t="shared" si="13"/>
        <v>0</v>
      </c>
      <c r="J62" s="22">
        <f t="shared" si="13"/>
        <v>0</v>
      </c>
      <c r="K62" s="22">
        <f t="shared" si="13"/>
        <v>0</v>
      </c>
      <c r="L62" s="22">
        <f t="shared" si="13"/>
        <v>0</v>
      </c>
      <c r="M62" s="22">
        <f t="shared" si="13"/>
        <v>0</v>
      </c>
    </row>
    <row r="63" spans="2:13" x14ac:dyDescent="0.25">
      <c r="B63" s="19">
        <f t="shared" si="10"/>
        <v>286250000</v>
      </c>
      <c r="C63" s="19">
        <f t="shared" si="10"/>
        <v>287250000</v>
      </c>
      <c r="E63" s="22">
        <f t="shared" si="12"/>
        <v>1</v>
      </c>
      <c r="G63" s="22">
        <f t="shared" si="13"/>
        <v>1</v>
      </c>
      <c r="H63" s="22">
        <f t="shared" si="13"/>
        <v>0</v>
      </c>
      <c r="I63" s="22">
        <f t="shared" si="13"/>
        <v>0</v>
      </c>
      <c r="J63" s="22">
        <f t="shared" si="13"/>
        <v>0</v>
      </c>
      <c r="K63" s="22">
        <f t="shared" si="13"/>
        <v>0</v>
      </c>
      <c r="L63" s="22">
        <f t="shared" si="13"/>
        <v>0</v>
      </c>
      <c r="M63" s="22">
        <f t="shared" si="13"/>
        <v>0</v>
      </c>
    </row>
    <row r="64" spans="2:13" x14ac:dyDescent="0.25">
      <c r="B64" s="19">
        <f t="shared" si="10"/>
        <v>287250000</v>
      </c>
      <c r="C64" s="19">
        <f t="shared" si="10"/>
        <v>295250000</v>
      </c>
      <c r="E64" s="22">
        <f t="shared" si="12"/>
        <v>1</v>
      </c>
      <c r="G64" s="22">
        <f t="shared" si="13"/>
        <v>0</v>
      </c>
      <c r="H64" s="22">
        <f t="shared" si="13"/>
        <v>0</v>
      </c>
      <c r="I64" s="22">
        <f t="shared" si="13"/>
        <v>0</v>
      </c>
      <c r="J64" s="22">
        <f t="shared" si="13"/>
        <v>0</v>
      </c>
      <c r="K64" s="22">
        <f t="shared" si="13"/>
        <v>0</v>
      </c>
      <c r="L64" s="22">
        <f t="shared" si="13"/>
        <v>0</v>
      </c>
      <c r="M64" s="22">
        <f t="shared" si="13"/>
        <v>1</v>
      </c>
    </row>
    <row r="65" spans="2:22" x14ac:dyDescent="0.25">
      <c r="B65" s="19">
        <f t="shared" si="10"/>
        <v>295250000</v>
      </c>
      <c r="C65" s="19">
        <f t="shared" si="10"/>
        <v>308750000</v>
      </c>
      <c r="E65" s="22">
        <f t="shared" si="12"/>
        <v>1</v>
      </c>
      <c r="G65" s="22">
        <f t="shared" si="13"/>
        <v>0.1111111111111111</v>
      </c>
      <c r="H65" s="22">
        <f t="shared" si="13"/>
        <v>0</v>
      </c>
      <c r="I65" s="22">
        <f t="shared" si="13"/>
        <v>0</v>
      </c>
      <c r="J65" s="22">
        <f t="shared" si="13"/>
        <v>0</v>
      </c>
      <c r="K65" s="22">
        <f t="shared" si="13"/>
        <v>0</v>
      </c>
      <c r="L65" s="22">
        <f t="shared" si="13"/>
        <v>0</v>
      </c>
      <c r="M65" s="22">
        <f t="shared" si="13"/>
        <v>0.88888888888888884</v>
      </c>
    </row>
    <row r="66" spans="2:22" x14ac:dyDescent="0.25">
      <c r="B66" s="19">
        <f t="shared" si="10"/>
        <v>308750000</v>
      </c>
      <c r="C66" s="19">
        <f t="shared" si="10"/>
        <v>335000000</v>
      </c>
      <c r="E66" s="22">
        <f t="shared" si="12"/>
        <v>1</v>
      </c>
      <c r="G66" s="22">
        <f t="shared" si="13"/>
        <v>9.5238095238095233E-2</v>
      </c>
      <c r="H66" s="22">
        <f t="shared" si="13"/>
        <v>0.14285714285714285</v>
      </c>
      <c r="I66" s="22">
        <f t="shared" si="13"/>
        <v>0</v>
      </c>
      <c r="J66" s="22">
        <f t="shared" si="13"/>
        <v>0</v>
      </c>
      <c r="K66" s="22">
        <f t="shared" si="13"/>
        <v>0</v>
      </c>
      <c r="L66" s="22">
        <f t="shared" si="13"/>
        <v>0</v>
      </c>
      <c r="M66" s="22">
        <f t="shared" si="13"/>
        <v>0.76190476190476186</v>
      </c>
    </row>
    <row r="67" spans="2:22" x14ac:dyDescent="0.25">
      <c r="B67" s="19">
        <f t="shared" si="10"/>
        <v>335000000</v>
      </c>
      <c r="C67" s="19">
        <f t="shared" si="10"/>
        <v>397500000</v>
      </c>
      <c r="E67" s="22">
        <f t="shared" si="12"/>
        <v>1</v>
      </c>
      <c r="G67" s="22">
        <f t="shared" si="13"/>
        <v>0.08</v>
      </c>
      <c r="H67" s="22">
        <f t="shared" si="13"/>
        <v>0.12</v>
      </c>
      <c r="I67" s="22">
        <f t="shared" si="13"/>
        <v>0.16</v>
      </c>
      <c r="J67" s="22">
        <f t="shared" si="13"/>
        <v>0</v>
      </c>
      <c r="K67" s="22">
        <f t="shared" si="13"/>
        <v>0</v>
      </c>
      <c r="L67" s="22">
        <f t="shared" si="13"/>
        <v>0</v>
      </c>
      <c r="M67" s="22">
        <f t="shared" si="13"/>
        <v>0.64</v>
      </c>
    </row>
    <row r="68" spans="2:22" x14ac:dyDescent="0.25">
      <c r="B68" s="19">
        <f t="shared" si="10"/>
        <v>397500000</v>
      </c>
      <c r="C68" s="19">
        <f t="shared" si="10"/>
        <v>840000000</v>
      </c>
      <c r="E68" s="22">
        <f t="shared" si="12"/>
        <v>1</v>
      </c>
      <c r="G68" s="22">
        <f t="shared" si="13"/>
        <v>6.7796610169491525E-2</v>
      </c>
      <c r="H68" s="22">
        <f t="shared" si="13"/>
        <v>0.10169491525423729</v>
      </c>
      <c r="I68" s="22">
        <f t="shared" si="13"/>
        <v>0.13559322033898305</v>
      </c>
      <c r="J68" s="22">
        <f t="shared" si="13"/>
        <v>0.15254237288135594</v>
      </c>
      <c r="K68" s="22">
        <f t="shared" si="13"/>
        <v>0</v>
      </c>
      <c r="L68" s="22">
        <f t="shared" si="13"/>
        <v>0</v>
      </c>
      <c r="M68" s="22">
        <f t="shared" si="13"/>
        <v>0.5423728813559322</v>
      </c>
    </row>
    <row r="69" spans="2:22" x14ac:dyDescent="0.25">
      <c r="B69" s="19">
        <f t="shared" si="10"/>
        <v>840000000</v>
      </c>
      <c r="C69" s="19">
        <f t="shared" si="10"/>
        <v>1012500000</v>
      </c>
      <c r="E69" s="22">
        <f t="shared" si="12"/>
        <v>1</v>
      </c>
      <c r="G69" s="22">
        <f t="shared" si="13"/>
        <v>5.7971014492753624E-2</v>
      </c>
      <c r="H69" s="22">
        <f t="shared" si="13"/>
        <v>8.6956521739130432E-2</v>
      </c>
      <c r="I69" s="22">
        <f t="shared" si="13"/>
        <v>0.11594202898550725</v>
      </c>
      <c r="J69" s="22">
        <f t="shared" si="13"/>
        <v>0.13043478260869565</v>
      </c>
      <c r="K69" s="22">
        <f t="shared" si="13"/>
        <v>0.14492753623188406</v>
      </c>
      <c r="L69" s="22">
        <f t="shared" si="13"/>
        <v>0</v>
      </c>
      <c r="M69" s="22">
        <f t="shared" si="13"/>
        <v>0.46376811594202899</v>
      </c>
    </row>
    <row r="70" spans="2:22" x14ac:dyDescent="0.25">
      <c r="B70" s="19">
        <f t="shared" si="10"/>
        <v>1012500000</v>
      </c>
      <c r="C70" s="19" t="str">
        <f t="shared" si="10"/>
        <v>and above</v>
      </c>
      <c r="E70" s="22">
        <f t="shared" si="12"/>
        <v>1</v>
      </c>
      <c r="G70" s="22">
        <f t="shared" si="13"/>
        <v>4.9382716049382713E-2</v>
      </c>
      <c r="H70" s="22">
        <f t="shared" si="13"/>
        <v>7.407407407407407E-2</v>
      </c>
      <c r="I70" s="22">
        <f t="shared" si="13"/>
        <v>9.8765432098765427E-2</v>
      </c>
      <c r="J70" s="22">
        <f t="shared" si="13"/>
        <v>0.1111111111111111</v>
      </c>
      <c r="K70" s="22">
        <f t="shared" si="13"/>
        <v>0.12345679012345678</v>
      </c>
      <c r="L70" s="22">
        <f t="shared" si="13"/>
        <v>0.14814814814814814</v>
      </c>
      <c r="M70" s="22">
        <f t="shared" si="13"/>
        <v>0.39506172839506171</v>
      </c>
    </row>
    <row r="71" spans="2:22" x14ac:dyDescent="0.25">
      <c r="B71" s="17"/>
      <c r="C71" s="17"/>
      <c r="E71" s="17"/>
      <c r="G71" s="17"/>
      <c r="H71" s="17"/>
      <c r="I71" s="17"/>
      <c r="J71" s="17"/>
      <c r="K71" s="17"/>
      <c r="L71" s="17"/>
      <c r="M71" s="17"/>
    </row>
    <row r="72" spans="2:22" x14ac:dyDescent="0.25">
      <c r="G72" s="18"/>
      <c r="H72" s="18"/>
      <c r="I72" s="18"/>
      <c r="J72" s="18"/>
      <c r="K72" s="18"/>
      <c r="L72" s="18"/>
      <c r="M72" s="18"/>
    </row>
    <row r="73" spans="2:22" x14ac:dyDescent="0.25">
      <c r="G73" s="18"/>
      <c r="H73" s="18"/>
      <c r="I73" s="18"/>
      <c r="J73" s="18"/>
      <c r="K73" s="18"/>
      <c r="L73" s="18"/>
      <c r="M73" s="18"/>
    </row>
    <row r="74" spans="2:22" x14ac:dyDescent="0.25">
      <c r="G74" s="18"/>
      <c r="H74" s="18"/>
      <c r="I74" s="18"/>
      <c r="J74" s="18"/>
      <c r="K74" s="18"/>
      <c r="L74" s="18"/>
      <c r="M74" s="18"/>
    </row>
    <row r="75" spans="2:22" x14ac:dyDescent="0.25">
      <c r="B75" s="31" t="str">
        <f>B55</f>
        <v>Breakpoints</v>
      </c>
      <c r="C75" s="31">
        <f>C55</f>
        <v>0</v>
      </c>
      <c r="E75" s="15" t="s">
        <v>46</v>
      </c>
      <c r="G75" s="16"/>
      <c r="H75" s="16"/>
      <c r="I75" s="16"/>
      <c r="J75" s="16"/>
      <c r="K75" s="16"/>
      <c r="L75" s="16"/>
      <c r="M75" s="16"/>
      <c r="O75" s="16" t="s">
        <v>52</v>
      </c>
      <c r="P75" s="18"/>
      <c r="Q75" s="16"/>
      <c r="R75" s="16"/>
      <c r="S75" s="16"/>
      <c r="T75" s="16"/>
      <c r="V75" s="16" t="s">
        <v>42</v>
      </c>
    </row>
    <row r="76" spans="2:22" x14ac:dyDescent="0.25">
      <c r="B76" s="17" t="str">
        <f t="shared" ref="B76:C89" si="14">B56</f>
        <v xml:space="preserve">From </v>
      </c>
      <c r="C76" s="17" t="str">
        <f t="shared" si="14"/>
        <v>To</v>
      </c>
      <c r="E76" s="17"/>
      <c r="G76" s="21" t="str">
        <f>G5</f>
        <v>Series A Preferred</v>
      </c>
      <c r="H76" s="21" t="str">
        <f t="shared" ref="H76:M76" si="15">H5</f>
        <v>Series B Preferred</v>
      </c>
      <c r="I76" s="21" t="str">
        <f t="shared" si="15"/>
        <v>Series C Preferred</v>
      </c>
      <c r="J76" s="21" t="str">
        <f t="shared" si="15"/>
        <v>Series D Preferred</v>
      </c>
      <c r="K76" s="21" t="str">
        <f t="shared" si="15"/>
        <v>Series E Preferred</v>
      </c>
      <c r="L76" s="21" t="str">
        <f t="shared" si="15"/>
        <v>Series F Preferred</v>
      </c>
      <c r="M76" s="21" t="str">
        <f t="shared" si="15"/>
        <v>Common</v>
      </c>
      <c r="O76" s="17" t="s">
        <v>53</v>
      </c>
      <c r="P76" s="18"/>
      <c r="Q76" s="17" t="s">
        <v>48</v>
      </c>
      <c r="R76" s="17" t="s">
        <v>49</v>
      </c>
      <c r="S76" s="17" t="s">
        <v>50</v>
      </c>
      <c r="T76" s="17" t="s">
        <v>51</v>
      </c>
      <c r="V76" s="17" t="s">
        <v>48</v>
      </c>
    </row>
    <row r="77" spans="2:22" x14ac:dyDescent="0.25">
      <c r="B77" s="18"/>
      <c r="C77" s="18"/>
      <c r="E77" s="16"/>
      <c r="G77" s="6"/>
      <c r="H77" s="6"/>
      <c r="I77" s="6"/>
      <c r="J77" s="6"/>
      <c r="K77" s="6"/>
      <c r="L77" s="6"/>
      <c r="M77" s="6"/>
      <c r="O77" s="16"/>
      <c r="P77" s="18"/>
      <c r="Q77" s="16"/>
      <c r="R77" s="16"/>
      <c r="S77" s="16"/>
      <c r="T77" s="16"/>
      <c r="V77" s="16"/>
    </row>
    <row r="78" spans="2:22" x14ac:dyDescent="0.25">
      <c r="B78" s="18">
        <f t="shared" si="14"/>
        <v>0</v>
      </c>
      <c r="C78" s="19">
        <f t="shared" si="14"/>
        <v>150000000</v>
      </c>
      <c r="E78" s="19">
        <f>O78-O79</f>
        <v>137978689.91536272</v>
      </c>
      <c r="G78" s="19">
        <f>$E78*G58</f>
        <v>0</v>
      </c>
      <c r="H78" s="19">
        <f t="shared" ref="H78:M78" si="16">$E78*H58</f>
        <v>0</v>
      </c>
      <c r="I78" s="19">
        <f t="shared" si="16"/>
        <v>0</v>
      </c>
      <c r="J78" s="19">
        <f t="shared" si="16"/>
        <v>0</v>
      </c>
      <c r="K78" s="19">
        <f t="shared" si="16"/>
        <v>0</v>
      </c>
      <c r="L78" s="19">
        <f t="shared" si="16"/>
        <v>137978689.91536272</v>
      </c>
      <c r="M78" s="19">
        <f t="shared" si="16"/>
        <v>0</v>
      </c>
      <c r="O78" s="19">
        <f>C7</f>
        <v>639220356.84560394</v>
      </c>
      <c r="P78" s="18"/>
      <c r="Q78" s="18">
        <v>1</v>
      </c>
      <c r="R78" s="18"/>
      <c r="S78" s="18"/>
      <c r="T78" s="18"/>
      <c r="V78" s="24">
        <f>Q78-Q79</f>
        <v>3.2468183004008555E-3</v>
      </c>
    </row>
    <row r="79" spans="2:22" x14ac:dyDescent="0.25">
      <c r="B79" s="19">
        <f t="shared" si="14"/>
        <v>150000000</v>
      </c>
      <c r="C79" s="19">
        <f t="shared" si="14"/>
        <v>250000000</v>
      </c>
      <c r="E79" s="19">
        <f t="shared" ref="E79:E90" si="17">O79-O80</f>
        <v>87338632.812842131</v>
      </c>
      <c r="G79" s="19">
        <f t="shared" ref="G79:M90" si="18">$E79*G59</f>
        <v>0</v>
      </c>
      <c r="H79" s="19">
        <f t="shared" si="18"/>
        <v>0</v>
      </c>
      <c r="I79" s="19">
        <f t="shared" si="18"/>
        <v>0</v>
      </c>
      <c r="J79" s="19">
        <f t="shared" si="18"/>
        <v>0</v>
      </c>
      <c r="K79" s="19">
        <f t="shared" si="18"/>
        <v>87338632.812842131</v>
      </c>
      <c r="L79" s="19">
        <f t="shared" si="18"/>
        <v>0</v>
      </c>
      <c r="M79" s="19">
        <f t="shared" si="18"/>
        <v>0</v>
      </c>
      <c r="O79" s="19">
        <f>$C$7*Q79-B79*EXP(-$C$10*$C$8)*R79</f>
        <v>501241666.93024123</v>
      </c>
      <c r="P79" s="18"/>
      <c r="Q79" s="24">
        <f>NORMSDIST(S79)</f>
        <v>0.99675318169959914</v>
      </c>
      <c r="R79" s="24">
        <f>NORMSDIST(T79)</f>
        <v>0.98148160915096794</v>
      </c>
      <c r="S79" s="24">
        <f>(LN($C$7/B79)+($C$10+$C$9*$C$9/2)*$C$8)/($C$9*SQRT($C$8))</f>
        <v>2.7217544841634362</v>
      </c>
      <c r="T79" s="24">
        <f>S79-$C$9*SQRT($C$8)</f>
        <v>2.0853583810955434</v>
      </c>
      <c r="V79" s="24">
        <f t="shared" ref="V79:V90" si="19">Q79-Q80</f>
        <v>2.4240953871309312E-2</v>
      </c>
    </row>
    <row r="80" spans="2:22" x14ac:dyDescent="0.25">
      <c r="B80" s="19">
        <f t="shared" si="14"/>
        <v>250000000</v>
      </c>
      <c r="C80" s="19">
        <f t="shared" si="14"/>
        <v>272500000</v>
      </c>
      <c r="E80" s="19">
        <f t="shared" si="17"/>
        <v>18432398.054652035</v>
      </c>
      <c r="G80" s="19">
        <f t="shared" si="18"/>
        <v>0</v>
      </c>
      <c r="H80" s="19">
        <f t="shared" si="18"/>
        <v>0</v>
      </c>
      <c r="I80" s="19">
        <f t="shared" si="18"/>
        <v>0</v>
      </c>
      <c r="J80" s="19">
        <f t="shared" si="18"/>
        <v>18432398.054652035</v>
      </c>
      <c r="K80" s="19">
        <f t="shared" si="18"/>
        <v>0</v>
      </c>
      <c r="L80" s="19">
        <f t="shared" si="18"/>
        <v>0</v>
      </c>
      <c r="M80" s="19">
        <f t="shared" si="18"/>
        <v>0</v>
      </c>
      <c r="O80" s="19">
        <f t="shared" ref="O80:O90" si="20">$C$7*Q80-B80*EXP(-$C$10*$C$8)*R80</f>
        <v>413903034.1173991</v>
      </c>
      <c r="P80" s="18"/>
      <c r="Q80" s="24">
        <f t="shared" ref="Q80:R90" si="21">NORMSDIST(S80)</f>
        <v>0.97251222782828983</v>
      </c>
      <c r="R80" s="24">
        <f t="shared" si="21"/>
        <v>0.90019673036837977</v>
      </c>
      <c r="S80" s="24">
        <f t="shared" ref="S80:S90" si="22">(LN($C$7/B80)+($C$10+$C$9*$C$9/2)*$C$8)/($C$9*SQRT($C$8))</f>
        <v>1.9190694562328146</v>
      </c>
      <c r="T80" s="24">
        <f t="shared" ref="T80:T90" si="23">S80-$C$9*SQRT($C$8)</f>
        <v>1.2826733531649217</v>
      </c>
      <c r="V80" s="24">
        <f t="shared" si="19"/>
        <v>9.7521583790399768E-3</v>
      </c>
    </row>
    <row r="81" spans="2:22" x14ac:dyDescent="0.25">
      <c r="B81" s="19">
        <f t="shared" si="14"/>
        <v>272500000</v>
      </c>
      <c r="C81" s="19">
        <f t="shared" si="14"/>
        <v>282500000</v>
      </c>
      <c r="E81" s="19">
        <f t="shared" si="17"/>
        <v>8015876.096493423</v>
      </c>
      <c r="G81" s="19">
        <f t="shared" si="18"/>
        <v>0</v>
      </c>
      <c r="H81" s="19">
        <f t="shared" si="18"/>
        <v>0</v>
      </c>
      <c r="I81" s="19">
        <f t="shared" si="18"/>
        <v>8015876.096493423</v>
      </c>
      <c r="J81" s="19">
        <f t="shared" si="18"/>
        <v>0</v>
      </c>
      <c r="K81" s="19">
        <f t="shared" si="18"/>
        <v>0</v>
      </c>
      <c r="L81" s="19">
        <f t="shared" si="18"/>
        <v>0</v>
      </c>
      <c r="M81" s="19">
        <f t="shared" si="18"/>
        <v>0</v>
      </c>
      <c r="O81" s="19">
        <f t="shared" si="20"/>
        <v>395470636.06274706</v>
      </c>
      <c r="P81" s="18"/>
      <c r="Q81" s="24">
        <f t="shared" si="21"/>
        <v>0.96276006944924986</v>
      </c>
      <c r="R81" s="24">
        <f t="shared" si="21"/>
        <v>0.87436253126042973</v>
      </c>
      <c r="S81" s="24">
        <f t="shared" si="22"/>
        <v>1.78365427090152</v>
      </c>
      <c r="T81" s="24">
        <f t="shared" si="23"/>
        <v>1.1472581678336271</v>
      </c>
      <c r="V81" s="24">
        <f t="shared" si="19"/>
        <v>4.8418382072444865E-3</v>
      </c>
    </row>
    <row r="82" spans="2:22" x14ac:dyDescent="0.25">
      <c r="B82" s="19">
        <f t="shared" si="14"/>
        <v>282500000</v>
      </c>
      <c r="C82" s="19">
        <f t="shared" si="14"/>
        <v>286250000</v>
      </c>
      <c r="E82" s="19">
        <f t="shared" si="17"/>
        <v>2976976.8199647069</v>
      </c>
      <c r="G82" s="19">
        <f t="shared" si="18"/>
        <v>0</v>
      </c>
      <c r="H82" s="19">
        <f t="shared" si="18"/>
        <v>2976976.8199647069</v>
      </c>
      <c r="I82" s="19">
        <f t="shared" si="18"/>
        <v>0</v>
      </c>
      <c r="J82" s="19">
        <f t="shared" si="18"/>
        <v>0</v>
      </c>
      <c r="K82" s="19">
        <f t="shared" si="18"/>
        <v>0</v>
      </c>
      <c r="L82" s="19">
        <f t="shared" si="18"/>
        <v>0</v>
      </c>
      <c r="M82" s="19">
        <f t="shared" si="18"/>
        <v>0</v>
      </c>
      <c r="O82" s="19">
        <f t="shared" si="20"/>
        <v>387454759.96625364</v>
      </c>
      <c r="P82" s="18"/>
      <c r="Q82" s="24">
        <f t="shared" si="21"/>
        <v>0.95791823124200537</v>
      </c>
      <c r="R82" s="24">
        <f t="shared" si="21"/>
        <v>0.8622814496636888</v>
      </c>
      <c r="S82" s="24">
        <f t="shared" si="22"/>
        <v>1.7270229742775178</v>
      </c>
      <c r="T82" s="24">
        <f t="shared" si="23"/>
        <v>1.090626871209625</v>
      </c>
      <c r="V82" s="24">
        <f t="shared" si="19"/>
        <v>1.8942017755341212E-3</v>
      </c>
    </row>
    <row r="83" spans="2:22" x14ac:dyDescent="0.25">
      <c r="B83" s="19">
        <f t="shared" si="14"/>
        <v>286250000</v>
      </c>
      <c r="C83" s="19">
        <f t="shared" si="14"/>
        <v>287250000</v>
      </c>
      <c r="E83" s="19">
        <f t="shared" si="17"/>
        <v>791157.60224533081</v>
      </c>
      <c r="G83" s="19">
        <f t="shared" si="18"/>
        <v>791157.60224533081</v>
      </c>
      <c r="H83" s="19">
        <f t="shared" si="18"/>
        <v>0</v>
      </c>
      <c r="I83" s="19">
        <f t="shared" si="18"/>
        <v>0</v>
      </c>
      <c r="J83" s="19">
        <f t="shared" si="18"/>
        <v>0</v>
      </c>
      <c r="K83" s="19">
        <f t="shared" si="18"/>
        <v>0</v>
      </c>
      <c r="L83" s="19">
        <f t="shared" si="18"/>
        <v>0</v>
      </c>
      <c r="M83" s="19">
        <f t="shared" si="18"/>
        <v>0</v>
      </c>
      <c r="O83" s="19">
        <f t="shared" si="20"/>
        <v>384477783.14628893</v>
      </c>
      <c r="P83" s="18"/>
      <c r="Q83" s="24">
        <f t="shared" si="21"/>
        <v>0.95602402946647125</v>
      </c>
      <c r="R83" s="24">
        <f t="shared" si="21"/>
        <v>0.85766907485084842</v>
      </c>
      <c r="S83" s="24">
        <f t="shared" si="22"/>
        <v>1.7063015961635051</v>
      </c>
      <c r="T83" s="24">
        <f t="shared" si="23"/>
        <v>1.0699054930956122</v>
      </c>
      <c r="V83" s="24">
        <f t="shared" si="19"/>
        <v>5.1226270712501076E-4</v>
      </c>
    </row>
    <row r="84" spans="2:22" x14ac:dyDescent="0.25">
      <c r="B84" s="19">
        <f t="shared" si="14"/>
        <v>287250000</v>
      </c>
      <c r="C84" s="19">
        <f t="shared" si="14"/>
        <v>295250000</v>
      </c>
      <c r="E84" s="19">
        <f t="shared" si="17"/>
        <v>6287884.3904417157</v>
      </c>
      <c r="G84" s="19">
        <f t="shared" si="18"/>
        <v>0</v>
      </c>
      <c r="H84" s="19">
        <f t="shared" si="18"/>
        <v>0</v>
      </c>
      <c r="I84" s="19">
        <f t="shared" si="18"/>
        <v>0</v>
      </c>
      <c r="J84" s="19">
        <f t="shared" si="18"/>
        <v>0</v>
      </c>
      <c r="K84" s="19">
        <f t="shared" si="18"/>
        <v>0</v>
      </c>
      <c r="L84" s="19">
        <f t="shared" si="18"/>
        <v>0</v>
      </c>
      <c r="M84" s="19">
        <f t="shared" si="18"/>
        <v>6287884.3904417157</v>
      </c>
      <c r="O84" s="19">
        <f t="shared" si="20"/>
        <v>383686625.5440436</v>
      </c>
      <c r="P84" s="18"/>
      <c r="Q84" s="24">
        <f t="shared" si="21"/>
        <v>0.95551176675934624</v>
      </c>
      <c r="R84" s="24">
        <f t="shared" si="21"/>
        <v>0.85643203647824107</v>
      </c>
      <c r="S84" s="24">
        <f t="shared" si="22"/>
        <v>1.7008217356747248</v>
      </c>
      <c r="T84" s="24">
        <f t="shared" si="23"/>
        <v>1.064425632606832</v>
      </c>
      <c r="V84" s="24">
        <f t="shared" si="19"/>
        <v>4.2050730224199029E-3</v>
      </c>
    </row>
    <row r="85" spans="2:22" x14ac:dyDescent="0.25">
      <c r="B85" s="19">
        <f t="shared" si="14"/>
        <v>295250000</v>
      </c>
      <c r="C85" s="19">
        <f t="shared" si="14"/>
        <v>308750000</v>
      </c>
      <c r="E85" s="19">
        <f t="shared" si="17"/>
        <v>10441376.43363297</v>
      </c>
      <c r="G85" s="19">
        <f t="shared" si="18"/>
        <v>1160152.9370703299</v>
      </c>
      <c r="H85" s="19">
        <f t="shared" si="18"/>
        <v>0</v>
      </c>
      <c r="I85" s="19">
        <f t="shared" si="18"/>
        <v>0</v>
      </c>
      <c r="J85" s="19">
        <f t="shared" si="18"/>
        <v>0</v>
      </c>
      <c r="K85" s="19">
        <f t="shared" si="18"/>
        <v>0</v>
      </c>
      <c r="L85" s="19">
        <f t="shared" si="18"/>
        <v>0</v>
      </c>
      <c r="M85" s="19">
        <f t="shared" si="18"/>
        <v>9281223.4965626393</v>
      </c>
      <c r="O85" s="19">
        <f t="shared" si="20"/>
        <v>377398741.15360188</v>
      </c>
      <c r="P85" s="18"/>
      <c r="Q85" s="24">
        <f t="shared" si="21"/>
        <v>0.95130669373692633</v>
      </c>
      <c r="R85" s="24">
        <f t="shared" si="21"/>
        <v>0.84643469956900419</v>
      </c>
      <c r="S85" s="24">
        <f t="shared" si="22"/>
        <v>1.6576575204694721</v>
      </c>
      <c r="T85" s="24">
        <f t="shared" si="23"/>
        <v>1.0212614174015793</v>
      </c>
      <c r="V85" s="24">
        <f t="shared" si="19"/>
        <v>7.5173458345515476E-3</v>
      </c>
    </row>
    <row r="86" spans="2:22" x14ac:dyDescent="0.25">
      <c r="B86" s="19">
        <f t="shared" si="14"/>
        <v>308750000</v>
      </c>
      <c r="C86" s="19">
        <f t="shared" si="14"/>
        <v>335000000</v>
      </c>
      <c r="E86" s="19">
        <f t="shared" si="17"/>
        <v>19677066.244645476</v>
      </c>
      <c r="G86" s="19">
        <f t="shared" si="18"/>
        <v>1874006.3090138547</v>
      </c>
      <c r="H86" s="19">
        <f t="shared" si="18"/>
        <v>2811009.4635207821</v>
      </c>
      <c r="I86" s="19">
        <f t="shared" si="18"/>
        <v>0</v>
      </c>
      <c r="J86" s="19">
        <f t="shared" si="18"/>
        <v>0</v>
      </c>
      <c r="K86" s="19">
        <f t="shared" si="18"/>
        <v>0</v>
      </c>
      <c r="L86" s="19">
        <f t="shared" si="18"/>
        <v>0</v>
      </c>
      <c r="M86" s="19">
        <f t="shared" si="18"/>
        <v>14992050.472110838</v>
      </c>
      <c r="O86" s="19">
        <f t="shared" si="20"/>
        <v>366957364.71996891</v>
      </c>
      <c r="P86" s="18"/>
      <c r="Q86" s="24">
        <f t="shared" si="21"/>
        <v>0.94378934790237479</v>
      </c>
      <c r="R86" s="24">
        <f t="shared" si="21"/>
        <v>0.82919967038221487</v>
      </c>
      <c r="S86" s="24">
        <f t="shared" si="22"/>
        <v>1.5874034245547062</v>
      </c>
      <c r="T86" s="24">
        <f t="shared" si="23"/>
        <v>0.95100732148681333</v>
      </c>
      <c r="V86" s="24">
        <f t="shared" si="19"/>
        <v>1.6046648809326824E-2</v>
      </c>
    </row>
    <row r="87" spans="2:22" x14ac:dyDescent="0.25">
      <c r="B87" s="19">
        <f t="shared" si="14"/>
        <v>335000000</v>
      </c>
      <c r="C87" s="19">
        <f t="shared" si="14"/>
        <v>397500000</v>
      </c>
      <c r="E87" s="19">
        <f t="shared" si="17"/>
        <v>43417583.808387995</v>
      </c>
      <c r="G87" s="19">
        <f t="shared" si="18"/>
        <v>3473406.7046710397</v>
      </c>
      <c r="H87" s="19">
        <f t="shared" si="18"/>
        <v>5210110.0570065593</v>
      </c>
      <c r="I87" s="19">
        <f t="shared" si="18"/>
        <v>6946813.4093420794</v>
      </c>
      <c r="J87" s="19">
        <f t="shared" si="18"/>
        <v>0</v>
      </c>
      <c r="K87" s="19">
        <f t="shared" si="18"/>
        <v>0</v>
      </c>
      <c r="L87" s="19">
        <f t="shared" si="18"/>
        <v>0</v>
      </c>
      <c r="M87" s="19">
        <f t="shared" si="18"/>
        <v>27787253.637368318</v>
      </c>
      <c r="O87" s="19">
        <f t="shared" si="20"/>
        <v>347280298.47532344</v>
      </c>
      <c r="P87" s="18"/>
      <c r="Q87" s="24">
        <f t="shared" si="21"/>
        <v>0.92774269909304796</v>
      </c>
      <c r="R87" s="24">
        <f t="shared" si="21"/>
        <v>0.79468555490448756</v>
      </c>
      <c r="S87" s="24">
        <f t="shared" si="22"/>
        <v>1.4591835258320163</v>
      </c>
      <c r="T87" s="24">
        <f t="shared" si="23"/>
        <v>0.82278742276412342</v>
      </c>
      <c r="V87" s="24">
        <f t="shared" si="19"/>
        <v>4.4690890341922307E-2</v>
      </c>
    </row>
    <row r="88" spans="2:22" x14ac:dyDescent="0.25">
      <c r="B88" s="19">
        <f t="shared" si="14"/>
        <v>397500000</v>
      </c>
      <c r="C88" s="19">
        <f t="shared" si="14"/>
        <v>840000000</v>
      </c>
      <c r="E88" s="19">
        <f t="shared" si="17"/>
        <v>187595472.595633</v>
      </c>
      <c r="G88" s="19">
        <f t="shared" si="18"/>
        <v>12718337.12512766</v>
      </c>
      <c r="H88" s="19">
        <f t="shared" si="18"/>
        <v>19077505.687691491</v>
      </c>
      <c r="I88" s="19">
        <f t="shared" si="18"/>
        <v>25436674.25025532</v>
      </c>
      <c r="J88" s="19">
        <f t="shared" si="18"/>
        <v>28616258.531537239</v>
      </c>
      <c r="K88" s="19">
        <f t="shared" si="18"/>
        <v>0</v>
      </c>
      <c r="L88" s="19">
        <f t="shared" si="18"/>
        <v>0</v>
      </c>
      <c r="M88" s="19">
        <f t="shared" si="18"/>
        <v>101746697.00102128</v>
      </c>
      <c r="O88" s="19">
        <f t="shared" si="20"/>
        <v>303862714.66693544</v>
      </c>
      <c r="P88" s="18"/>
      <c r="Q88" s="24">
        <f t="shared" si="21"/>
        <v>0.88305180875112566</v>
      </c>
      <c r="R88" s="24">
        <f t="shared" si="21"/>
        <v>0.7102056658709992</v>
      </c>
      <c r="S88" s="24">
        <f t="shared" si="22"/>
        <v>1.1903817505781058</v>
      </c>
      <c r="T88" s="24">
        <f t="shared" si="23"/>
        <v>0.55398564751021295</v>
      </c>
      <c r="V88" s="24">
        <f t="shared" si="19"/>
        <v>0.37719237808329642</v>
      </c>
    </row>
    <row r="89" spans="2:22" x14ac:dyDescent="0.25">
      <c r="B89" s="19">
        <f t="shared" si="14"/>
        <v>840000000</v>
      </c>
      <c r="C89" s="19">
        <f t="shared" si="14"/>
        <v>1012500000</v>
      </c>
      <c r="E89" s="19">
        <f t="shared" si="17"/>
        <v>35123398.999987185</v>
      </c>
      <c r="G89" s="19">
        <f t="shared" si="18"/>
        <v>2036139.0724630253</v>
      </c>
      <c r="H89" s="19">
        <f t="shared" si="18"/>
        <v>3054208.6086945375</v>
      </c>
      <c r="I89" s="19">
        <f t="shared" si="18"/>
        <v>4072278.1449260507</v>
      </c>
      <c r="J89" s="19">
        <f t="shared" si="18"/>
        <v>4581312.9130418068</v>
      </c>
      <c r="K89" s="19">
        <f t="shared" si="18"/>
        <v>5090347.6811575629</v>
      </c>
      <c r="L89" s="19">
        <f t="shared" si="18"/>
        <v>0</v>
      </c>
      <c r="M89" s="19">
        <f t="shared" si="18"/>
        <v>16289112.579704203</v>
      </c>
      <c r="O89" s="19">
        <f t="shared" si="20"/>
        <v>116267242.07130244</v>
      </c>
      <c r="P89" s="18"/>
      <c r="Q89" s="24">
        <f t="shared" si="21"/>
        <v>0.50585943066782924</v>
      </c>
      <c r="R89" s="24">
        <f t="shared" si="21"/>
        <v>0.26706689239133369</v>
      </c>
      <c r="S89" s="24">
        <f t="shared" si="22"/>
        <v>1.4687942686967107E-2</v>
      </c>
      <c r="T89" s="24">
        <f t="shared" si="23"/>
        <v>-0.62170816038092569</v>
      </c>
      <c r="V89" s="24">
        <f t="shared" si="19"/>
        <v>0.11566107185914448</v>
      </c>
    </row>
    <row r="90" spans="2:22" x14ac:dyDescent="0.25">
      <c r="B90" s="19">
        <f>B70</f>
        <v>1012500000</v>
      </c>
      <c r="C90" s="19" t="str">
        <f>C70</f>
        <v>and above</v>
      </c>
      <c r="E90" s="19">
        <f t="shared" si="17"/>
        <v>81143843.071315259</v>
      </c>
      <c r="G90" s="19">
        <f>$E90*G70</f>
        <v>4007103.3615464321</v>
      </c>
      <c r="H90" s="19">
        <f t="shared" si="18"/>
        <v>6010655.0423196489</v>
      </c>
      <c r="I90" s="19">
        <f t="shared" si="18"/>
        <v>8014206.7230928643</v>
      </c>
      <c r="J90" s="19">
        <f t="shared" si="18"/>
        <v>9015982.563479472</v>
      </c>
      <c r="K90" s="19">
        <f t="shared" si="18"/>
        <v>10017758.403866081</v>
      </c>
      <c r="L90" s="19">
        <f t="shared" si="18"/>
        <v>12021310.084639298</v>
      </c>
      <c r="M90" s="19">
        <f t="shared" si="18"/>
        <v>32056826.892371457</v>
      </c>
      <c r="O90" s="19">
        <f t="shared" si="20"/>
        <v>81143843.071315259</v>
      </c>
      <c r="P90" s="18"/>
      <c r="Q90" s="24">
        <f t="shared" si="21"/>
        <v>0.39019835880868475</v>
      </c>
      <c r="R90" s="24">
        <f t="shared" si="21"/>
        <v>0.18004379898979384</v>
      </c>
      <c r="S90" s="24">
        <f t="shared" si="22"/>
        <v>-0.27880208065374629</v>
      </c>
      <c r="T90" s="24">
        <f t="shared" si="23"/>
        <v>-0.91519818372163919</v>
      </c>
      <c r="V90" s="24">
        <f t="shared" si="19"/>
        <v>0.39019835880868475</v>
      </c>
    </row>
    <row r="91" spans="2:22" x14ac:dyDescent="0.25">
      <c r="B91" s="17"/>
      <c r="C91" s="17"/>
      <c r="E91" s="17"/>
      <c r="G91" s="8"/>
      <c r="H91" s="8"/>
      <c r="I91" s="8"/>
      <c r="J91" s="8"/>
      <c r="K91" s="8"/>
      <c r="L91" s="8"/>
      <c r="M91" s="8"/>
      <c r="O91" s="17"/>
      <c r="P91" s="18"/>
      <c r="Q91" s="17"/>
      <c r="R91" s="17"/>
      <c r="S91" s="17"/>
      <c r="T91" s="17"/>
      <c r="V91" s="8"/>
    </row>
    <row r="93" spans="2:22" x14ac:dyDescent="0.25">
      <c r="E93" s="14" t="s">
        <v>54</v>
      </c>
      <c r="G93" s="19">
        <f>SUM(G78:G90)</f>
        <v>26060303.112137668</v>
      </c>
      <c r="H93" s="19">
        <f t="shared" ref="H93:M93" si="24">SUM(H78:H90)</f>
        <v>39140465.679197729</v>
      </c>
      <c r="I93" s="19">
        <f t="shared" si="24"/>
        <v>52485848.62410973</v>
      </c>
      <c r="J93" s="19">
        <f t="shared" si="24"/>
        <v>60645952.062710553</v>
      </c>
      <c r="K93" s="19">
        <f t="shared" si="24"/>
        <v>102446738.89786577</v>
      </c>
      <c r="L93" s="19">
        <f t="shared" si="24"/>
        <v>150000000.00000203</v>
      </c>
      <c r="M93" s="19">
        <f t="shared" si="24"/>
        <v>208441048.46958041</v>
      </c>
    </row>
    <row r="95" spans="2:22" x14ac:dyDescent="0.25">
      <c r="E95" s="14" t="s">
        <v>55</v>
      </c>
      <c r="G95" s="32">
        <f>G93/G8</f>
        <v>260.60303112137666</v>
      </c>
      <c r="H95" s="32">
        <f t="shared" ref="H95:M95" si="25">H93/H8</f>
        <v>260.93643786131821</v>
      </c>
      <c r="I95" s="32">
        <f t="shared" si="25"/>
        <v>262.42924312054868</v>
      </c>
      <c r="J95" s="32">
        <f t="shared" si="25"/>
        <v>269.53756472315803</v>
      </c>
      <c r="K95" s="32">
        <f t="shared" si="25"/>
        <v>409.78695559146308</v>
      </c>
      <c r="L95" s="32">
        <f t="shared" si="25"/>
        <v>500.00000000000676</v>
      </c>
      <c r="M95" s="32">
        <f t="shared" si="25"/>
        <v>260.55131058697549</v>
      </c>
    </row>
    <row r="97" spans="5:13" x14ac:dyDescent="0.25">
      <c r="E97" s="14" t="s">
        <v>78</v>
      </c>
      <c r="G97" s="33">
        <f>$C$9*SUMPRODUCT(G58:G70,$V$78:$V$90)*($C$7/G93)</f>
        <v>0.64016598088856291</v>
      </c>
      <c r="H97" s="33">
        <f t="shared" ref="H97:M97" si="26">$C$9*SUMPRODUCT(H58:H70,$V$78:$V$90)*($C$7/H93)</f>
        <v>0.63841406662073619</v>
      </c>
      <c r="I97" s="33">
        <f t="shared" si="26"/>
        <v>0.63072545617404729</v>
      </c>
      <c r="J97" s="33">
        <f t="shared" si="26"/>
        <v>0.59635609385274746</v>
      </c>
      <c r="K97" s="33">
        <f t="shared" si="26"/>
        <v>0.25038786496189419</v>
      </c>
      <c r="L97" s="33">
        <f t="shared" si="26"/>
        <v>0.11708084557256429</v>
      </c>
      <c r="M97" s="33">
        <f t="shared" si="26"/>
        <v>0.64044067728449439</v>
      </c>
    </row>
    <row r="99" spans="5:13" x14ac:dyDescent="0.25">
      <c r="G99" s="24"/>
      <c r="H99" s="24"/>
      <c r="I99" s="24"/>
      <c r="J99" s="24"/>
      <c r="K99" s="24"/>
      <c r="L99" s="24"/>
      <c r="M99" s="24"/>
    </row>
    <row r="101" spans="5:13" x14ac:dyDescent="0.25">
      <c r="G101" s="22"/>
      <c r="H101" s="22"/>
      <c r="I101" s="22"/>
      <c r="J101" s="22"/>
      <c r="K101" s="22"/>
      <c r="L101" s="22"/>
      <c r="M101" s="22"/>
    </row>
    <row r="102" spans="5:13" x14ac:dyDescent="0.25">
      <c r="K102" t="s">
        <v>91</v>
      </c>
      <c r="L102" s="19">
        <f>'1.a Capital Structure'!E7*'1.a Capital Structure'!C7</f>
        <v>150000000</v>
      </c>
    </row>
    <row r="103" spans="5:13" x14ac:dyDescent="0.25">
      <c r="K103" t="s">
        <v>92</v>
      </c>
      <c r="L103" s="32">
        <f>L93-L102</f>
        <v>2.0265579223632813E-6</v>
      </c>
    </row>
  </sheetData>
  <mergeCells count="4">
    <mergeCell ref="B15:C15"/>
    <mergeCell ref="B35:C35"/>
    <mergeCell ref="B55:C55"/>
    <mergeCell ref="B75:C7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1D2CF-4B38-448D-955D-8ED50A381794}">
  <dimension ref="A1:I8"/>
  <sheetViews>
    <sheetView workbookViewId="0">
      <selection activeCell="E65" sqref="E65:M66"/>
    </sheetView>
  </sheetViews>
  <sheetFormatPr defaultRowHeight="15" x14ac:dyDescent="0.25"/>
  <cols>
    <col min="1" max="1" width="16.5703125" bestFit="1" customWidth="1"/>
    <col min="2" max="2" width="11.42578125" customWidth="1"/>
    <col min="3" max="3" width="11.85546875" bestFit="1" customWidth="1"/>
    <col min="4" max="4" width="8.5703125" bestFit="1" customWidth="1"/>
    <col min="5" max="5" width="31.140625" bestFit="1" customWidth="1"/>
    <col min="6" max="6" width="10.7109375" bestFit="1" customWidth="1"/>
    <col min="7" max="7" width="15.85546875" bestFit="1" customWidth="1"/>
    <col min="8" max="8" width="12.28515625" bestFit="1" customWidth="1"/>
    <col min="9" max="9" width="25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16</v>
      </c>
      <c r="C2" s="3">
        <v>100000</v>
      </c>
      <c r="D2">
        <v>6</v>
      </c>
      <c r="E2" s="1">
        <v>10</v>
      </c>
      <c r="F2" t="b">
        <v>1</v>
      </c>
      <c r="G2" s="5">
        <v>1</v>
      </c>
      <c r="H2" t="b">
        <v>1</v>
      </c>
    </row>
    <row r="3" spans="1:9" x14ac:dyDescent="0.25">
      <c r="A3" t="s">
        <v>10</v>
      </c>
      <c r="B3" t="s">
        <v>16</v>
      </c>
      <c r="C3" s="3">
        <v>150000</v>
      </c>
      <c r="D3">
        <v>5</v>
      </c>
      <c r="E3" s="1">
        <v>25</v>
      </c>
      <c r="F3" t="b">
        <v>1</v>
      </c>
      <c r="G3" s="5">
        <v>1</v>
      </c>
      <c r="H3" t="b">
        <v>1</v>
      </c>
    </row>
    <row r="4" spans="1:9" x14ac:dyDescent="0.25">
      <c r="A4" t="s">
        <v>11</v>
      </c>
      <c r="B4" t="s">
        <v>16</v>
      </c>
      <c r="C4" s="3">
        <v>200000</v>
      </c>
      <c r="D4">
        <v>4</v>
      </c>
      <c r="E4" s="1">
        <v>50</v>
      </c>
      <c r="F4" t="b">
        <v>1</v>
      </c>
      <c r="G4" s="5">
        <v>1</v>
      </c>
      <c r="H4" t="b">
        <v>1</v>
      </c>
    </row>
    <row r="5" spans="1:9" x14ac:dyDescent="0.25">
      <c r="A5" t="s">
        <v>12</v>
      </c>
      <c r="B5" t="s">
        <v>16</v>
      </c>
      <c r="C5" s="3">
        <v>225000</v>
      </c>
      <c r="D5">
        <v>3</v>
      </c>
      <c r="E5" s="1">
        <v>100</v>
      </c>
      <c r="F5" t="b">
        <v>1</v>
      </c>
      <c r="G5" s="5">
        <v>1</v>
      </c>
      <c r="H5" t="b">
        <v>1</v>
      </c>
    </row>
    <row r="6" spans="1:9" x14ac:dyDescent="0.25">
      <c r="A6" t="s">
        <v>13</v>
      </c>
      <c r="B6" t="s">
        <v>16</v>
      </c>
      <c r="C6" s="3">
        <v>250000</v>
      </c>
      <c r="D6">
        <v>2</v>
      </c>
      <c r="E6" s="1">
        <v>400</v>
      </c>
      <c r="F6" t="b">
        <v>1</v>
      </c>
      <c r="G6" s="5">
        <v>1</v>
      </c>
      <c r="H6" t="b">
        <v>1</v>
      </c>
    </row>
    <row r="7" spans="1:9" x14ac:dyDescent="0.25">
      <c r="A7" t="s">
        <v>14</v>
      </c>
      <c r="B7" t="s">
        <v>16</v>
      </c>
      <c r="C7" s="3">
        <v>300000</v>
      </c>
      <c r="D7">
        <v>1</v>
      </c>
      <c r="E7" s="1">
        <v>500</v>
      </c>
      <c r="F7" t="b">
        <v>1</v>
      </c>
      <c r="G7" s="5">
        <v>1</v>
      </c>
      <c r="H7" t="b">
        <v>1</v>
      </c>
    </row>
    <row r="8" spans="1:9" x14ac:dyDescent="0.25">
      <c r="A8" t="s">
        <v>15</v>
      </c>
      <c r="B8" t="s">
        <v>15</v>
      </c>
      <c r="C8" s="3">
        <v>800000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65582-38E4-4CA3-B53A-4F6E4DE2BED4}">
  <dimension ref="B5:V73"/>
  <sheetViews>
    <sheetView showGridLines="0" zoomScale="85" zoomScaleNormal="85" workbookViewId="0">
      <selection activeCell="G71" sqref="G71:M73"/>
    </sheetView>
  </sheetViews>
  <sheetFormatPr defaultRowHeight="15" x14ac:dyDescent="0.25"/>
  <cols>
    <col min="2" max="3" width="17.140625" customWidth="1"/>
    <col min="4" max="4" width="2.85546875" customWidth="1"/>
    <col min="5" max="5" width="17.140625" customWidth="1"/>
    <col min="6" max="6" width="2.85546875" customWidth="1"/>
    <col min="7" max="13" width="17.140625" customWidth="1"/>
    <col min="15" max="15" width="17.140625" customWidth="1"/>
  </cols>
  <sheetData>
    <row r="5" spans="2:14" x14ac:dyDescent="0.25">
      <c r="B5" s="9" t="s">
        <v>33</v>
      </c>
      <c r="C5" s="9"/>
      <c r="G5" s="9" t="s">
        <v>9</v>
      </c>
      <c r="H5" s="9" t="s">
        <v>10</v>
      </c>
      <c r="I5" s="9" t="s">
        <v>11</v>
      </c>
      <c r="J5" s="9" t="s">
        <v>12</v>
      </c>
      <c r="K5" s="9" t="s">
        <v>13</v>
      </c>
      <c r="L5" s="9" t="s">
        <v>14</v>
      </c>
      <c r="M5" s="9" t="s">
        <v>15</v>
      </c>
    </row>
    <row r="6" spans="2:14" x14ac:dyDescent="0.25">
      <c r="B6" s="6"/>
      <c r="C6" s="6"/>
      <c r="G6" s="6"/>
      <c r="H6" s="6"/>
      <c r="I6" s="6"/>
      <c r="J6" s="6"/>
      <c r="K6" s="6"/>
      <c r="L6" s="6"/>
      <c r="M6" s="6"/>
    </row>
    <row r="7" spans="2:14" x14ac:dyDescent="0.25">
      <c r="B7" t="s">
        <v>34</v>
      </c>
      <c r="C7" s="7">
        <v>750000000</v>
      </c>
      <c r="G7" s="11">
        <f>'2.a Capital Structure'!D2</f>
        <v>6</v>
      </c>
      <c r="H7" s="11">
        <f>'2.a Capital Structure'!D3</f>
        <v>5</v>
      </c>
      <c r="I7" s="11">
        <f>'2.a Capital Structure'!D4</f>
        <v>4</v>
      </c>
      <c r="J7" s="11">
        <f>'2.a Capital Structure'!D5</f>
        <v>3</v>
      </c>
      <c r="K7" s="11">
        <f>'2.a Capital Structure'!D6</f>
        <v>2</v>
      </c>
      <c r="L7" s="11">
        <f>'2.a Capital Structure'!D7</f>
        <v>1</v>
      </c>
      <c r="M7" s="11"/>
      <c r="N7" s="11" t="s">
        <v>37</v>
      </c>
    </row>
    <row r="8" spans="2:14" x14ac:dyDescent="0.25">
      <c r="B8" t="s">
        <v>47</v>
      </c>
      <c r="C8">
        <v>2</v>
      </c>
      <c r="G8" s="12">
        <f>'2.a Capital Structure'!C2</f>
        <v>100000</v>
      </c>
      <c r="H8" s="12">
        <f>'2.a Capital Structure'!C3</f>
        <v>150000</v>
      </c>
      <c r="I8" s="12">
        <f>'2.a Capital Structure'!C4</f>
        <v>200000</v>
      </c>
      <c r="J8" s="12">
        <f>'2.a Capital Structure'!C5</f>
        <v>225000</v>
      </c>
      <c r="K8" s="12">
        <f>'2.a Capital Structure'!C6</f>
        <v>250000</v>
      </c>
      <c r="L8" s="12">
        <f>'2.a Capital Structure'!C7</f>
        <v>300000</v>
      </c>
      <c r="M8" s="12">
        <f>'2.a Capital Structure'!C8</f>
        <v>800000</v>
      </c>
      <c r="N8" s="11" t="s">
        <v>38</v>
      </c>
    </row>
    <row r="9" spans="2:14" x14ac:dyDescent="0.25">
      <c r="B9" t="s">
        <v>35</v>
      </c>
      <c r="C9" s="23">
        <v>0.45</v>
      </c>
      <c r="G9" s="13">
        <f>'2.a Capital Structure'!E2</f>
        <v>10</v>
      </c>
      <c r="H9" s="13">
        <f>'2.a Capital Structure'!E3</f>
        <v>25</v>
      </c>
      <c r="I9" s="13">
        <f>'2.a Capital Structure'!E4</f>
        <v>50</v>
      </c>
      <c r="J9" s="13">
        <f>'2.a Capital Structure'!E5</f>
        <v>100</v>
      </c>
      <c r="K9" s="13">
        <f>'2.a Capital Structure'!E6</f>
        <v>400</v>
      </c>
      <c r="L9" s="13">
        <f>'2.a Capital Structure'!E7</f>
        <v>500</v>
      </c>
      <c r="M9" s="11"/>
      <c r="N9" s="11" t="s">
        <v>40</v>
      </c>
    </row>
    <row r="10" spans="2:14" x14ac:dyDescent="0.25">
      <c r="B10" t="s">
        <v>36</v>
      </c>
      <c r="C10" s="23">
        <v>0.04</v>
      </c>
      <c r="G10" s="13">
        <f>G8*G9</f>
        <v>1000000</v>
      </c>
      <c r="H10" s="13">
        <f t="shared" ref="H10:L10" si="0">H8*H9</f>
        <v>3750000</v>
      </c>
      <c r="I10" s="13">
        <f t="shared" si="0"/>
        <v>10000000</v>
      </c>
      <c r="J10" s="13">
        <f t="shared" si="0"/>
        <v>22500000</v>
      </c>
      <c r="K10" s="13">
        <f t="shared" si="0"/>
        <v>100000000</v>
      </c>
      <c r="L10" s="13">
        <f t="shared" si="0"/>
        <v>150000000</v>
      </c>
      <c r="M10" s="11"/>
      <c r="N10" s="11" t="s">
        <v>39</v>
      </c>
    </row>
    <row r="11" spans="2:14" x14ac:dyDescent="0.25">
      <c r="B11" s="8"/>
      <c r="C11" s="8"/>
      <c r="G11" s="10"/>
      <c r="H11" s="10"/>
      <c r="I11" s="10"/>
      <c r="J11" s="10"/>
      <c r="K11" s="10"/>
      <c r="L11" s="10"/>
      <c r="M11" s="8"/>
    </row>
    <row r="15" spans="2:14" x14ac:dyDescent="0.25">
      <c r="B15" s="31" t="s">
        <v>41</v>
      </c>
      <c r="C15" s="31"/>
      <c r="E15" s="16"/>
      <c r="G15" s="16"/>
      <c r="H15" s="16"/>
      <c r="I15" s="16"/>
      <c r="J15" s="16"/>
      <c r="K15" s="16"/>
      <c r="L15" s="16"/>
      <c r="M15" s="16"/>
    </row>
    <row r="16" spans="2:14" x14ac:dyDescent="0.25">
      <c r="B16" s="17" t="s">
        <v>17</v>
      </c>
      <c r="C16" s="17" t="s">
        <v>18</v>
      </c>
      <c r="E16" s="17"/>
      <c r="G16" s="21" t="str">
        <f t="shared" ref="G16:M16" si="1">G5</f>
        <v>Series A Preferred</v>
      </c>
      <c r="H16" s="21" t="str">
        <f t="shared" si="1"/>
        <v>Series B Preferred</v>
      </c>
      <c r="I16" s="21" t="str">
        <f t="shared" si="1"/>
        <v>Series C Preferred</v>
      </c>
      <c r="J16" s="21" t="str">
        <f t="shared" si="1"/>
        <v>Series D Preferred</v>
      </c>
      <c r="K16" s="21" t="str">
        <f t="shared" si="1"/>
        <v>Series E Preferred</v>
      </c>
      <c r="L16" s="21" t="str">
        <f t="shared" si="1"/>
        <v>Series F Preferred</v>
      </c>
      <c r="M16" s="21" t="str">
        <f t="shared" si="1"/>
        <v>Common</v>
      </c>
    </row>
    <row r="17" spans="2:13" x14ac:dyDescent="0.25">
      <c r="B17" s="18"/>
      <c r="C17" s="18"/>
      <c r="E17" s="18"/>
      <c r="G17" s="18"/>
      <c r="H17" s="18"/>
      <c r="I17" s="18"/>
      <c r="J17" s="18"/>
      <c r="K17" s="18"/>
      <c r="L17" s="18"/>
      <c r="M17" s="18"/>
    </row>
    <row r="18" spans="2:13" x14ac:dyDescent="0.25">
      <c r="B18" s="19">
        <v>0</v>
      </c>
      <c r="C18" s="19">
        <f>B18+SUM(G18:L18)</f>
        <v>150000000</v>
      </c>
      <c r="E18" s="18"/>
      <c r="G18" s="18"/>
      <c r="H18" s="18"/>
      <c r="I18" s="18"/>
      <c r="J18" s="18"/>
      <c r="K18" s="18"/>
      <c r="L18" s="19">
        <f>L10</f>
        <v>150000000</v>
      </c>
      <c r="M18" s="18"/>
    </row>
    <row r="19" spans="2:13" x14ac:dyDescent="0.25">
      <c r="B19" s="19">
        <f>C18</f>
        <v>150000000</v>
      </c>
      <c r="C19" s="19">
        <f t="shared" ref="C19:C23" si="2">B19+SUM(G19:L19)</f>
        <v>250000000</v>
      </c>
      <c r="E19" s="18"/>
      <c r="G19" s="18"/>
      <c r="H19" s="18"/>
      <c r="I19" s="18"/>
      <c r="J19" s="18"/>
      <c r="K19" s="19">
        <f>K10</f>
        <v>100000000</v>
      </c>
      <c r="L19" s="18"/>
      <c r="M19" s="18"/>
    </row>
    <row r="20" spans="2:13" x14ac:dyDescent="0.25">
      <c r="B20" s="19">
        <f t="shared" ref="B20:B24" si="3">C19</f>
        <v>250000000</v>
      </c>
      <c r="C20" s="19">
        <f t="shared" si="2"/>
        <v>272500000</v>
      </c>
      <c r="E20" s="18"/>
      <c r="G20" s="18"/>
      <c r="H20" s="18"/>
      <c r="I20" s="18"/>
      <c r="J20" s="19">
        <f>J10</f>
        <v>22500000</v>
      </c>
      <c r="K20" s="18"/>
      <c r="L20" s="18"/>
      <c r="M20" s="18"/>
    </row>
    <row r="21" spans="2:13" x14ac:dyDescent="0.25">
      <c r="B21" s="19">
        <f t="shared" si="3"/>
        <v>272500000</v>
      </c>
      <c r="C21" s="19">
        <f t="shared" si="2"/>
        <v>282500000</v>
      </c>
      <c r="E21" s="18"/>
      <c r="G21" s="18"/>
      <c r="H21" s="18"/>
      <c r="I21" s="19">
        <f>I10</f>
        <v>10000000</v>
      </c>
      <c r="J21" s="18"/>
      <c r="K21" s="18"/>
      <c r="L21" s="18"/>
      <c r="M21" s="18"/>
    </row>
    <row r="22" spans="2:13" x14ac:dyDescent="0.25">
      <c r="B22" s="19">
        <f t="shared" si="3"/>
        <v>282500000</v>
      </c>
      <c r="C22" s="19">
        <f t="shared" si="2"/>
        <v>286250000</v>
      </c>
      <c r="E22" s="18"/>
      <c r="G22" s="18"/>
      <c r="H22" s="19">
        <f>H10</f>
        <v>3750000</v>
      </c>
      <c r="I22" s="18"/>
      <c r="J22" s="18"/>
      <c r="K22" s="18"/>
      <c r="L22" s="18"/>
      <c r="M22" s="18"/>
    </row>
    <row r="23" spans="2:13" x14ac:dyDescent="0.25">
      <c r="B23" s="19">
        <f t="shared" si="3"/>
        <v>286250000</v>
      </c>
      <c r="C23" s="19">
        <f t="shared" si="2"/>
        <v>287250000</v>
      </c>
      <c r="E23" s="18"/>
      <c r="G23" s="19">
        <f>G10</f>
        <v>1000000</v>
      </c>
      <c r="H23" s="18"/>
      <c r="I23" s="18"/>
      <c r="J23" s="18"/>
      <c r="K23" s="18"/>
      <c r="L23" s="18"/>
      <c r="M23" s="18"/>
    </row>
    <row r="24" spans="2:13" x14ac:dyDescent="0.25">
      <c r="B24" s="19">
        <f t="shared" si="3"/>
        <v>287250000</v>
      </c>
      <c r="C24" s="19" t="s">
        <v>19</v>
      </c>
      <c r="E24" s="19"/>
      <c r="G24" s="20">
        <f t="shared" ref="G24:L24" si="4">G$8</f>
        <v>100000</v>
      </c>
      <c r="H24" s="20">
        <f t="shared" si="4"/>
        <v>150000</v>
      </c>
      <c r="I24" s="20">
        <f t="shared" si="4"/>
        <v>200000</v>
      </c>
      <c r="J24" s="20">
        <f t="shared" si="4"/>
        <v>225000</v>
      </c>
      <c r="K24" s="20">
        <f t="shared" si="4"/>
        <v>250000</v>
      </c>
      <c r="L24" s="20">
        <f t="shared" si="4"/>
        <v>300000</v>
      </c>
      <c r="M24" s="20">
        <f>M$8</f>
        <v>800000</v>
      </c>
    </row>
    <row r="25" spans="2:13" x14ac:dyDescent="0.25">
      <c r="B25" s="17"/>
      <c r="C25" s="17"/>
      <c r="E25" s="17"/>
      <c r="G25" s="17"/>
      <c r="H25" s="17"/>
      <c r="I25" s="17"/>
      <c r="J25" s="17"/>
      <c r="K25" s="17"/>
      <c r="L25" s="17"/>
      <c r="M25" s="17"/>
    </row>
    <row r="29" spans="2:13" x14ac:dyDescent="0.25">
      <c r="B29" s="31" t="s">
        <v>41</v>
      </c>
      <c r="C29" s="31"/>
      <c r="D29" s="18"/>
      <c r="E29" s="15" t="s">
        <v>42</v>
      </c>
      <c r="G29" s="6"/>
      <c r="H29" s="6"/>
      <c r="I29" s="6"/>
      <c r="J29" s="6"/>
      <c r="K29" s="6"/>
      <c r="L29" s="6"/>
      <c r="M29" s="6"/>
    </row>
    <row r="30" spans="2:13" x14ac:dyDescent="0.25">
      <c r="B30" s="17" t="str">
        <f>B16</f>
        <v xml:space="preserve">From </v>
      </c>
      <c r="C30" s="17" t="str">
        <f>C16</f>
        <v>To</v>
      </c>
      <c r="D30" s="18"/>
      <c r="E30" s="21" t="s">
        <v>43</v>
      </c>
      <c r="G30" s="8"/>
      <c r="H30" s="8"/>
      <c r="I30" s="8"/>
      <c r="J30" s="8"/>
      <c r="K30" s="8"/>
      <c r="L30" s="8"/>
      <c r="M30" s="8"/>
    </row>
    <row r="31" spans="2:13" x14ac:dyDescent="0.25">
      <c r="B31" s="18"/>
      <c r="C31" s="18"/>
      <c r="D31" s="18"/>
      <c r="E31" s="18"/>
    </row>
    <row r="32" spans="2:13" x14ac:dyDescent="0.25">
      <c r="B32" s="18">
        <f t="shared" ref="B32:C38" si="5">B18</f>
        <v>0</v>
      </c>
      <c r="C32" s="19">
        <f t="shared" si="5"/>
        <v>150000000</v>
      </c>
      <c r="D32" s="18"/>
      <c r="E32" s="19">
        <f>C32-B32</f>
        <v>150000000</v>
      </c>
      <c r="G32" t="s">
        <v>20</v>
      </c>
      <c r="L32" s="7"/>
    </row>
    <row r="33" spans="2:13" x14ac:dyDescent="0.25">
      <c r="B33" s="19">
        <f t="shared" si="5"/>
        <v>150000000</v>
      </c>
      <c r="C33" s="19">
        <f t="shared" si="5"/>
        <v>250000000</v>
      </c>
      <c r="D33" s="18"/>
      <c r="E33" s="19">
        <f t="shared" ref="E33:E37" si="6">C33-B33</f>
        <v>100000000</v>
      </c>
      <c r="G33" t="s">
        <v>21</v>
      </c>
      <c r="K33" s="7"/>
    </row>
    <row r="34" spans="2:13" x14ac:dyDescent="0.25">
      <c r="B34" s="19">
        <f t="shared" si="5"/>
        <v>250000000</v>
      </c>
      <c r="C34" s="19">
        <f t="shared" si="5"/>
        <v>272500000</v>
      </c>
      <c r="D34" s="18"/>
      <c r="E34" s="19">
        <f t="shared" si="6"/>
        <v>22500000</v>
      </c>
      <c r="G34" t="s">
        <v>22</v>
      </c>
      <c r="J34" s="7"/>
    </row>
    <row r="35" spans="2:13" x14ac:dyDescent="0.25">
      <c r="B35" s="19">
        <f t="shared" si="5"/>
        <v>272500000</v>
      </c>
      <c r="C35" s="19">
        <f t="shared" si="5"/>
        <v>282500000</v>
      </c>
      <c r="D35" s="18"/>
      <c r="E35" s="19">
        <f t="shared" si="6"/>
        <v>10000000</v>
      </c>
      <c r="G35" t="s">
        <v>23</v>
      </c>
      <c r="I35" s="7"/>
    </row>
    <row r="36" spans="2:13" x14ac:dyDescent="0.25">
      <c r="B36" s="19">
        <f t="shared" si="5"/>
        <v>282500000</v>
      </c>
      <c r="C36" s="19">
        <f t="shared" si="5"/>
        <v>286250000</v>
      </c>
      <c r="D36" s="18"/>
      <c r="E36" s="19">
        <f t="shared" si="6"/>
        <v>3750000</v>
      </c>
      <c r="G36" t="s">
        <v>24</v>
      </c>
      <c r="H36" s="7"/>
    </row>
    <row r="37" spans="2:13" x14ac:dyDescent="0.25">
      <c r="B37" s="19">
        <f t="shared" si="5"/>
        <v>286250000</v>
      </c>
      <c r="C37" s="19">
        <f t="shared" si="5"/>
        <v>287250000</v>
      </c>
      <c r="D37" s="18"/>
      <c r="E37" s="19">
        <f t="shared" si="6"/>
        <v>1000000</v>
      </c>
      <c r="G37" s="7" t="s">
        <v>25</v>
      </c>
    </row>
    <row r="38" spans="2:13" x14ac:dyDescent="0.25">
      <c r="B38" s="19">
        <f t="shared" si="5"/>
        <v>287250000</v>
      </c>
      <c r="C38" s="19" t="str">
        <f t="shared" si="5"/>
        <v>and above</v>
      </c>
      <c r="D38" s="18"/>
      <c r="E38" s="19"/>
      <c r="G38" s="3" t="s">
        <v>72</v>
      </c>
      <c r="M38" s="3"/>
    </row>
    <row r="39" spans="2:13" x14ac:dyDescent="0.25">
      <c r="B39" s="17"/>
      <c r="C39" s="17"/>
      <c r="D39" s="18"/>
      <c r="E39" s="17"/>
      <c r="G39" s="8"/>
      <c r="H39" s="8"/>
      <c r="I39" s="8"/>
      <c r="J39" s="8"/>
      <c r="K39" s="8"/>
      <c r="L39" s="8"/>
      <c r="M39" s="8"/>
    </row>
    <row r="43" spans="2:13" x14ac:dyDescent="0.25">
      <c r="B43" s="31" t="s">
        <v>41</v>
      </c>
      <c r="C43" s="31"/>
      <c r="E43" s="15" t="s">
        <v>44</v>
      </c>
      <c r="G43" s="16"/>
      <c r="H43" s="16"/>
      <c r="I43" s="16"/>
      <c r="J43" s="16"/>
      <c r="K43" s="16"/>
      <c r="L43" s="16"/>
      <c r="M43" s="16"/>
    </row>
    <row r="44" spans="2:13" x14ac:dyDescent="0.25">
      <c r="B44" s="17" t="str">
        <f>B30</f>
        <v xml:space="preserve">From </v>
      </c>
      <c r="C44" s="17" t="str">
        <f>C30</f>
        <v>To</v>
      </c>
      <c r="E44" s="21" t="s">
        <v>45</v>
      </c>
      <c r="G44" s="21" t="str">
        <f t="shared" ref="G44:M44" si="7">G16</f>
        <v>Series A Preferred</v>
      </c>
      <c r="H44" s="21" t="str">
        <f t="shared" si="7"/>
        <v>Series B Preferred</v>
      </c>
      <c r="I44" s="21" t="str">
        <f t="shared" si="7"/>
        <v>Series C Preferred</v>
      </c>
      <c r="J44" s="21" t="str">
        <f t="shared" si="7"/>
        <v>Series D Preferred</v>
      </c>
      <c r="K44" s="21" t="str">
        <f t="shared" si="7"/>
        <v>Series E Preferred</v>
      </c>
      <c r="L44" s="21" t="str">
        <f t="shared" si="7"/>
        <v>Series F Preferred</v>
      </c>
      <c r="M44" s="21" t="str">
        <f t="shared" si="7"/>
        <v>Common</v>
      </c>
    </row>
    <row r="45" spans="2:13" x14ac:dyDescent="0.25">
      <c r="B45" s="18"/>
      <c r="C45" s="18"/>
      <c r="E45" s="18"/>
      <c r="G45" s="18"/>
      <c r="H45" s="18"/>
      <c r="I45" s="18"/>
      <c r="J45" s="18"/>
      <c r="K45" s="18"/>
      <c r="L45" s="18"/>
      <c r="M45" s="18"/>
    </row>
    <row r="46" spans="2:13" x14ac:dyDescent="0.25">
      <c r="B46" s="18">
        <f t="shared" ref="B46:C52" si="8">B32</f>
        <v>0</v>
      </c>
      <c r="C46" s="19">
        <f t="shared" si="8"/>
        <v>150000000</v>
      </c>
      <c r="E46" s="22">
        <f>SUM(G46:M46)</f>
        <v>1</v>
      </c>
      <c r="G46" s="22">
        <f t="shared" ref="G46:M52" si="9">G18/SUM($G18:$M18)</f>
        <v>0</v>
      </c>
      <c r="H46" s="22">
        <f t="shared" si="9"/>
        <v>0</v>
      </c>
      <c r="I46" s="22">
        <f t="shared" si="9"/>
        <v>0</v>
      </c>
      <c r="J46" s="22">
        <f t="shared" si="9"/>
        <v>0</v>
      </c>
      <c r="K46" s="22">
        <f t="shared" si="9"/>
        <v>0</v>
      </c>
      <c r="L46" s="22">
        <f t="shared" si="9"/>
        <v>1</v>
      </c>
      <c r="M46" s="22">
        <f t="shared" si="9"/>
        <v>0</v>
      </c>
    </row>
    <row r="47" spans="2:13" x14ac:dyDescent="0.25">
      <c r="B47" s="19">
        <f t="shared" si="8"/>
        <v>150000000</v>
      </c>
      <c r="C47" s="19">
        <f t="shared" si="8"/>
        <v>250000000</v>
      </c>
      <c r="E47" s="22">
        <f t="shared" ref="E47:E52" si="10">SUM(G47:M47)</f>
        <v>1</v>
      </c>
      <c r="G47" s="22">
        <f t="shared" si="9"/>
        <v>0</v>
      </c>
      <c r="H47" s="22">
        <f t="shared" si="9"/>
        <v>0</v>
      </c>
      <c r="I47" s="22">
        <f t="shared" si="9"/>
        <v>0</v>
      </c>
      <c r="J47" s="22">
        <f t="shared" si="9"/>
        <v>0</v>
      </c>
      <c r="K47" s="22">
        <f t="shared" si="9"/>
        <v>1</v>
      </c>
      <c r="L47" s="22">
        <f t="shared" si="9"/>
        <v>0</v>
      </c>
      <c r="M47" s="22">
        <f t="shared" si="9"/>
        <v>0</v>
      </c>
    </row>
    <row r="48" spans="2:13" x14ac:dyDescent="0.25">
      <c r="B48" s="19">
        <f t="shared" si="8"/>
        <v>250000000</v>
      </c>
      <c r="C48" s="19">
        <f t="shared" si="8"/>
        <v>272500000</v>
      </c>
      <c r="E48" s="22">
        <f t="shared" si="10"/>
        <v>1</v>
      </c>
      <c r="G48" s="22">
        <f t="shared" si="9"/>
        <v>0</v>
      </c>
      <c r="H48" s="22">
        <f t="shared" si="9"/>
        <v>0</v>
      </c>
      <c r="I48" s="22">
        <f t="shared" si="9"/>
        <v>0</v>
      </c>
      <c r="J48" s="22">
        <f t="shared" si="9"/>
        <v>1</v>
      </c>
      <c r="K48" s="22">
        <f t="shared" si="9"/>
        <v>0</v>
      </c>
      <c r="L48" s="22">
        <f t="shared" si="9"/>
        <v>0</v>
      </c>
      <c r="M48" s="22">
        <f t="shared" si="9"/>
        <v>0</v>
      </c>
    </row>
    <row r="49" spans="2:22" x14ac:dyDescent="0.25">
      <c r="B49" s="19">
        <f t="shared" si="8"/>
        <v>272500000</v>
      </c>
      <c r="C49" s="19">
        <f t="shared" si="8"/>
        <v>282500000</v>
      </c>
      <c r="E49" s="22">
        <f t="shared" si="10"/>
        <v>1</v>
      </c>
      <c r="G49" s="22">
        <f t="shared" si="9"/>
        <v>0</v>
      </c>
      <c r="H49" s="22">
        <f t="shared" si="9"/>
        <v>0</v>
      </c>
      <c r="I49" s="22">
        <f t="shared" si="9"/>
        <v>1</v>
      </c>
      <c r="J49" s="22">
        <f t="shared" si="9"/>
        <v>0</v>
      </c>
      <c r="K49" s="22">
        <f t="shared" si="9"/>
        <v>0</v>
      </c>
      <c r="L49" s="22">
        <f t="shared" si="9"/>
        <v>0</v>
      </c>
      <c r="M49" s="22">
        <f t="shared" si="9"/>
        <v>0</v>
      </c>
    </row>
    <row r="50" spans="2:22" x14ac:dyDescent="0.25">
      <c r="B50" s="19">
        <f t="shared" si="8"/>
        <v>282500000</v>
      </c>
      <c r="C50" s="19">
        <f t="shared" si="8"/>
        <v>286250000</v>
      </c>
      <c r="E50" s="22">
        <f t="shared" si="10"/>
        <v>1</v>
      </c>
      <c r="G50" s="22">
        <f t="shared" si="9"/>
        <v>0</v>
      </c>
      <c r="H50" s="22">
        <f t="shared" si="9"/>
        <v>1</v>
      </c>
      <c r="I50" s="22">
        <f t="shared" si="9"/>
        <v>0</v>
      </c>
      <c r="J50" s="22">
        <f t="shared" si="9"/>
        <v>0</v>
      </c>
      <c r="K50" s="22">
        <f t="shared" si="9"/>
        <v>0</v>
      </c>
      <c r="L50" s="22">
        <f t="shared" si="9"/>
        <v>0</v>
      </c>
      <c r="M50" s="22">
        <f t="shared" si="9"/>
        <v>0</v>
      </c>
    </row>
    <row r="51" spans="2:22" x14ac:dyDescent="0.25">
      <c r="B51" s="19">
        <f t="shared" si="8"/>
        <v>286250000</v>
      </c>
      <c r="C51" s="19">
        <f t="shared" si="8"/>
        <v>287250000</v>
      </c>
      <c r="E51" s="22">
        <f t="shared" si="10"/>
        <v>1</v>
      </c>
      <c r="G51" s="22">
        <f t="shared" si="9"/>
        <v>1</v>
      </c>
      <c r="H51" s="22">
        <f t="shared" si="9"/>
        <v>0</v>
      </c>
      <c r="I51" s="22">
        <f t="shared" si="9"/>
        <v>0</v>
      </c>
      <c r="J51" s="22">
        <f t="shared" si="9"/>
        <v>0</v>
      </c>
      <c r="K51" s="22">
        <f t="shared" si="9"/>
        <v>0</v>
      </c>
      <c r="L51" s="22">
        <f t="shared" si="9"/>
        <v>0</v>
      </c>
      <c r="M51" s="22">
        <f t="shared" si="9"/>
        <v>0</v>
      </c>
    </row>
    <row r="52" spans="2:22" x14ac:dyDescent="0.25">
      <c r="B52" s="19">
        <f t="shared" si="8"/>
        <v>287250000</v>
      </c>
      <c r="C52" s="19" t="str">
        <f t="shared" si="8"/>
        <v>and above</v>
      </c>
      <c r="E52" s="22">
        <f t="shared" si="10"/>
        <v>1</v>
      </c>
      <c r="G52" s="22">
        <f t="shared" si="9"/>
        <v>4.9382716049382713E-2</v>
      </c>
      <c r="H52" s="22">
        <f t="shared" si="9"/>
        <v>7.407407407407407E-2</v>
      </c>
      <c r="I52" s="22">
        <f t="shared" si="9"/>
        <v>9.8765432098765427E-2</v>
      </c>
      <c r="J52" s="22">
        <f t="shared" si="9"/>
        <v>0.1111111111111111</v>
      </c>
      <c r="K52" s="22">
        <f t="shared" si="9"/>
        <v>0.12345679012345678</v>
      </c>
      <c r="L52" s="22">
        <f t="shared" si="9"/>
        <v>0.14814814814814814</v>
      </c>
      <c r="M52" s="22">
        <f t="shared" si="9"/>
        <v>0.39506172839506171</v>
      </c>
    </row>
    <row r="53" spans="2:22" x14ac:dyDescent="0.25">
      <c r="B53" s="17"/>
      <c r="C53" s="17"/>
      <c r="E53" s="17"/>
      <c r="G53" s="17"/>
      <c r="H53" s="17"/>
      <c r="I53" s="17"/>
      <c r="J53" s="17"/>
      <c r="K53" s="17"/>
      <c r="L53" s="17"/>
      <c r="M53" s="17"/>
    </row>
    <row r="54" spans="2:22" x14ac:dyDescent="0.25">
      <c r="G54" s="18"/>
      <c r="H54" s="18"/>
      <c r="I54" s="18"/>
      <c r="J54" s="18"/>
      <c r="K54" s="18"/>
      <c r="L54" s="18"/>
      <c r="M54" s="18"/>
    </row>
    <row r="55" spans="2:22" x14ac:dyDescent="0.25">
      <c r="G55" s="18"/>
      <c r="H55" s="18"/>
      <c r="I55" s="18"/>
      <c r="J55" s="18"/>
      <c r="K55" s="18"/>
      <c r="L55" s="18"/>
      <c r="M55" s="18"/>
    </row>
    <row r="56" spans="2:22" x14ac:dyDescent="0.25">
      <c r="G56" s="18"/>
      <c r="H56" s="18"/>
      <c r="I56" s="18"/>
      <c r="J56" s="18"/>
      <c r="K56" s="18"/>
      <c r="L56" s="18"/>
      <c r="M56" s="18"/>
    </row>
    <row r="57" spans="2:22" x14ac:dyDescent="0.25">
      <c r="B57" s="31" t="str">
        <f>B43</f>
        <v>Breakpoints</v>
      </c>
      <c r="C57" s="31">
        <f>C43</f>
        <v>0</v>
      </c>
      <c r="E57" s="15" t="s">
        <v>46</v>
      </c>
      <c r="G57" s="16"/>
      <c r="H57" s="16"/>
      <c r="I57" s="16"/>
      <c r="J57" s="16"/>
      <c r="K57" s="16"/>
      <c r="L57" s="16"/>
      <c r="M57" s="16"/>
      <c r="O57" s="16" t="s">
        <v>52</v>
      </c>
      <c r="P57" s="18"/>
      <c r="Q57" s="16"/>
      <c r="R57" s="16"/>
      <c r="S57" s="16"/>
      <c r="T57" s="16"/>
      <c r="V57" s="16" t="s">
        <v>42</v>
      </c>
    </row>
    <row r="58" spans="2:22" x14ac:dyDescent="0.25">
      <c r="B58" s="17" t="str">
        <f>B44</f>
        <v xml:space="preserve">From </v>
      </c>
      <c r="C58" s="17" t="str">
        <f>C44</f>
        <v>To</v>
      </c>
      <c r="E58" s="17"/>
      <c r="G58" s="21" t="str">
        <f t="shared" ref="G58:M58" si="11">G5</f>
        <v>Series A Preferred</v>
      </c>
      <c r="H58" s="21" t="str">
        <f t="shared" si="11"/>
        <v>Series B Preferred</v>
      </c>
      <c r="I58" s="21" t="str">
        <f t="shared" si="11"/>
        <v>Series C Preferred</v>
      </c>
      <c r="J58" s="21" t="str">
        <f t="shared" si="11"/>
        <v>Series D Preferred</v>
      </c>
      <c r="K58" s="21" t="str">
        <f t="shared" si="11"/>
        <v>Series E Preferred</v>
      </c>
      <c r="L58" s="21" t="str">
        <f t="shared" si="11"/>
        <v>Series F Preferred</v>
      </c>
      <c r="M58" s="21" t="str">
        <f t="shared" si="11"/>
        <v>Common</v>
      </c>
      <c r="O58" s="17" t="s">
        <v>53</v>
      </c>
      <c r="P58" s="18"/>
      <c r="Q58" s="17" t="s">
        <v>48</v>
      </c>
      <c r="R58" s="17" t="s">
        <v>49</v>
      </c>
      <c r="S58" s="17" t="s">
        <v>50</v>
      </c>
      <c r="T58" s="17" t="s">
        <v>51</v>
      </c>
      <c r="V58" s="17" t="s">
        <v>48</v>
      </c>
    </row>
    <row r="59" spans="2:22" x14ac:dyDescent="0.25">
      <c r="B59" s="18"/>
      <c r="C59" s="18"/>
      <c r="E59" s="16"/>
      <c r="G59" s="6"/>
      <c r="H59" s="6"/>
      <c r="I59" s="6"/>
      <c r="J59" s="6"/>
      <c r="K59" s="6"/>
      <c r="L59" s="6"/>
      <c r="M59" s="6"/>
      <c r="O59" s="16"/>
      <c r="P59" s="18"/>
      <c r="Q59" s="16"/>
      <c r="R59" s="16"/>
      <c r="S59" s="16"/>
      <c r="T59" s="16"/>
      <c r="V59" s="16"/>
    </row>
    <row r="60" spans="2:22" x14ac:dyDescent="0.25">
      <c r="B60" s="18">
        <f t="shared" ref="B60:C66" si="12">B46</f>
        <v>0</v>
      </c>
      <c r="C60" s="19">
        <f t="shared" si="12"/>
        <v>150000000</v>
      </c>
      <c r="E60" s="19">
        <f>O60-O61</f>
        <v>138226069.89324617</v>
      </c>
      <c r="G60" s="19">
        <f t="shared" ref="G60:M66" si="13">$E60*G46</f>
        <v>0</v>
      </c>
      <c r="H60" s="19">
        <f t="shared" si="13"/>
        <v>0</v>
      </c>
      <c r="I60" s="19">
        <f t="shared" si="13"/>
        <v>0</v>
      </c>
      <c r="J60" s="19">
        <f t="shared" si="13"/>
        <v>0</v>
      </c>
      <c r="K60" s="19">
        <f t="shared" si="13"/>
        <v>0</v>
      </c>
      <c r="L60" s="19">
        <f t="shared" si="13"/>
        <v>138226069.89324617</v>
      </c>
      <c r="M60" s="19">
        <f t="shared" si="13"/>
        <v>0</v>
      </c>
      <c r="O60" s="19">
        <f>C7</f>
        <v>750000000</v>
      </c>
      <c r="P60" s="18"/>
      <c r="Q60" s="18">
        <v>1</v>
      </c>
      <c r="R60" s="18"/>
      <c r="S60" s="18"/>
      <c r="T60" s="18"/>
      <c r="V60" s="24">
        <f>Q60-Q61</f>
        <v>1.4750334052406888E-3</v>
      </c>
    </row>
    <row r="61" spans="2:22" x14ac:dyDescent="0.25">
      <c r="B61" s="19">
        <f t="shared" si="12"/>
        <v>150000000</v>
      </c>
      <c r="C61" s="19">
        <f t="shared" si="12"/>
        <v>250000000</v>
      </c>
      <c r="E61" s="19">
        <f t="shared" ref="E61:E65" si="14">O61-O62</f>
        <v>89367221.265705109</v>
      </c>
      <c r="G61" s="19">
        <f t="shared" si="13"/>
        <v>0</v>
      </c>
      <c r="H61" s="19">
        <f t="shared" si="13"/>
        <v>0</v>
      </c>
      <c r="I61" s="19">
        <f t="shared" si="13"/>
        <v>0</v>
      </c>
      <c r="J61" s="19">
        <f t="shared" si="13"/>
        <v>0</v>
      </c>
      <c r="K61" s="19">
        <f t="shared" si="13"/>
        <v>89367221.265705109</v>
      </c>
      <c r="L61" s="19">
        <f t="shared" si="13"/>
        <v>0</v>
      </c>
      <c r="M61" s="19">
        <f t="shared" si="13"/>
        <v>0</v>
      </c>
      <c r="O61" s="19">
        <f>$C$7*Q61-B61*EXP(-$C$10*$C$8)*R61</f>
        <v>611773930.10675383</v>
      </c>
      <c r="P61" s="18"/>
      <c r="Q61" s="24">
        <f>NORMSDIST(S61)</f>
        <v>0.99852496659475931</v>
      </c>
      <c r="R61" s="24">
        <f>NORMSDIST(T61)</f>
        <v>0.99026733647782839</v>
      </c>
      <c r="S61" s="24">
        <f>(LN($C$7/B61)+($C$10+$C$9*$C$9/2)*$C$8)/($C$9*SQRT($C$8))</f>
        <v>2.9728936165912727</v>
      </c>
      <c r="T61" s="24">
        <f>S61-$C$9*SQRT($C$8)</f>
        <v>2.3364975135233799</v>
      </c>
      <c r="V61" s="24">
        <f t="shared" ref="V61:V66" si="15">Q61-Q62</f>
        <v>1.3520490464524193E-2</v>
      </c>
    </row>
    <row r="62" spans="2:22" x14ac:dyDescent="0.25">
      <c r="B62" s="19">
        <f t="shared" si="12"/>
        <v>250000000</v>
      </c>
      <c r="C62" s="19">
        <f t="shared" si="12"/>
        <v>272500000</v>
      </c>
      <c r="E62" s="19">
        <f t="shared" si="14"/>
        <v>19283082.721724033</v>
      </c>
      <c r="G62" s="19">
        <f t="shared" si="13"/>
        <v>0</v>
      </c>
      <c r="H62" s="19">
        <f t="shared" si="13"/>
        <v>0</v>
      </c>
      <c r="I62" s="19">
        <f t="shared" si="13"/>
        <v>0</v>
      </c>
      <c r="J62" s="19">
        <f t="shared" si="13"/>
        <v>19283082.721724033</v>
      </c>
      <c r="K62" s="19">
        <f t="shared" si="13"/>
        <v>0</v>
      </c>
      <c r="L62" s="19">
        <f t="shared" si="13"/>
        <v>0</v>
      </c>
      <c r="M62" s="19">
        <f t="shared" si="13"/>
        <v>0</v>
      </c>
      <c r="O62" s="19">
        <f t="shared" ref="O62:O66" si="16">$C$7*Q62-B62*EXP(-$C$10*$C$8)*R62</f>
        <v>522406708.84104872</v>
      </c>
      <c r="P62" s="18"/>
      <c r="Q62" s="24">
        <f t="shared" ref="Q62:R66" si="17">NORMSDIST(S62)</f>
        <v>0.98500447613023512</v>
      </c>
      <c r="R62" s="24">
        <f t="shared" si="17"/>
        <v>0.93746210476491143</v>
      </c>
      <c r="S62" s="24">
        <f t="shared" ref="S62:S66" si="18">(LN($C$7/B62)+($C$10+$C$9*$C$9/2)*$C$8)/($C$9*SQRT($C$8))</f>
        <v>2.1702085886606506</v>
      </c>
      <c r="T62" s="24">
        <f t="shared" ref="T62:T66" si="19">S62-$C$9*SQRT($C$8)</f>
        <v>1.5338124855927577</v>
      </c>
      <c r="V62" s="24">
        <f t="shared" si="15"/>
        <v>5.9403086880659428E-3</v>
      </c>
    </row>
    <row r="63" spans="2:22" x14ac:dyDescent="0.25">
      <c r="B63" s="19">
        <f t="shared" si="12"/>
        <v>272500000</v>
      </c>
      <c r="C63" s="19">
        <f t="shared" si="12"/>
        <v>282500000</v>
      </c>
      <c r="E63" s="19">
        <f t="shared" si="14"/>
        <v>8442952.9617477655</v>
      </c>
      <c r="G63" s="19">
        <f t="shared" si="13"/>
        <v>0</v>
      </c>
      <c r="H63" s="19">
        <f t="shared" si="13"/>
        <v>0</v>
      </c>
      <c r="I63" s="19">
        <f t="shared" si="13"/>
        <v>8442952.9617477655</v>
      </c>
      <c r="J63" s="19">
        <f t="shared" si="13"/>
        <v>0</v>
      </c>
      <c r="K63" s="19">
        <f t="shared" si="13"/>
        <v>0</v>
      </c>
      <c r="L63" s="19">
        <f t="shared" si="13"/>
        <v>0</v>
      </c>
      <c r="M63" s="19">
        <f t="shared" si="13"/>
        <v>0</v>
      </c>
      <c r="O63" s="19">
        <f t="shared" si="16"/>
        <v>503123626.11932468</v>
      </c>
      <c r="P63" s="18"/>
      <c r="Q63" s="24">
        <f t="shared" si="17"/>
        <v>0.97906416744216918</v>
      </c>
      <c r="R63" s="24">
        <f t="shared" si="17"/>
        <v>0.9190031032797934</v>
      </c>
      <c r="S63" s="24">
        <f t="shared" si="18"/>
        <v>2.0347934033293558</v>
      </c>
      <c r="T63" s="24">
        <f t="shared" si="19"/>
        <v>1.3983973002614629</v>
      </c>
      <c r="V63" s="24">
        <f t="shared" si="15"/>
        <v>3.0193784538140589E-3</v>
      </c>
    </row>
    <row r="64" spans="2:22" x14ac:dyDescent="0.25">
      <c r="B64" s="19">
        <f t="shared" si="12"/>
        <v>282500000</v>
      </c>
      <c r="C64" s="19">
        <f t="shared" si="12"/>
        <v>286250000</v>
      </c>
      <c r="E64" s="19">
        <f t="shared" si="14"/>
        <v>3144819.1063241959</v>
      </c>
      <c r="G64" s="19">
        <f t="shared" si="13"/>
        <v>0</v>
      </c>
      <c r="H64" s="19">
        <f t="shared" si="13"/>
        <v>3144819.1063241959</v>
      </c>
      <c r="I64" s="19">
        <f t="shared" si="13"/>
        <v>0</v>
      </c>
      <c r="J64" s="19">
        <f t="shared" si="13"/>
        <v>0</v>
      </c>
      <c r="K64" s="19">
        <f t="shared" si="13"/>
        <v>0</v>
      </c>
      <c r="L64" s="19">
        <f t="shared" si="13"/>
        <v>0</v>
      </c>
      <c r="M64" s="19">
        <f t="shared" si="13"/>
        <v>0</v>
      </c>
      <c r="O64" s="19">
        <f t="shared" si="16"/>
        <v>494680673.15757692</v>
      </c>
      <c r="P64" s="18"/>
      <c r="Q64" s="24">
        <f t="shared" si="17"/>
        <v>0.97604478898835512</v>
      </c>
      <c r="R64" s="24">
        <f t="shared" si="17"/>
        <v>0.91016406080218804</v>
      </c>
      <c r="S64" s="24">
        <f t="shared" si="18"/>
        <v>1.9781621067053541</v>
      </c>
      <c r="T64" s="24">
        <f t="shared" si="19"/>
        <v>1.3417660036374612</v>
      </c>
      <c r="V64" s="24">
        <f t="shared" si="15"/>
        <v>1.1926259636169112E-3</v>
      </c>
    </row>
    <row r="65" spans="2:22" x14ac:dyDescent="0.25">
      <c r="B65" s="19">
        <f t="shared" si="12"/>
        <v>286250000</v>
      </c>
      <c r="C65" s="19">
        <f t="shared" si="12"/>
        <v>287250000</v>
      </c>
      <c r="E65" s="19">
        <f t="shared" si="14"/>
        <v>836619.07329624891</v>
      </c>
      <c r="G65" s="19">
        <f t="shared" si="13"/>
        <v>836619.07329624891</v>
      </c>
      <c r="H65" s="19">
        <f t="shared" si="13"/>
        <v>0</v>
      </c>
      <c r="I65" s="19">
        <f t="shared" si="13"/>
        <v>0</v>
      </c>
      <c r="J65" s="19">
        <f t="shared" si="13"/>
        <v>0</v>
      </c>
      <c r="K65" s="19">
        <f t="shared" si="13"/>
        <v>0</v>
      </c>
      <c r="L65" s="19">
        <f t="shared" si="13"/>
        <v>0</v>
      </c>
      <c r="M65" s="19">
        <f t="shared" si="13"/>
        <v>0</v>
      </c>
      <c r="O65" s="19">
        <f t="shared" si="16"/>
        <v>491535854.05125272</v>
      </c>
      <c r="P65" s="18"/>
      <c r="Q65" s="24">
        <f t="shared" si="17"/>
        <v>0.97485216302473821</v>
      </c>
      <c r="R65" s="24">
        <f t="shared" si="17"/>
        <v>0.90675675749329787</v>
      </c>
      <c r="S65" s="24">
        <f t="shared" si="18"/>
        <v>1.9574407285913418</v>
      </c>
      <c r="T65" s="24">
        <f t="shared" si="19"/>
        <v>1.3210446255234489</v>
      </c>
      <c r="V65" s="24">
        <f t="shared" si="15"/>
        <v>3.2358839167367925E-4</v>
      </c>
    </row>
    <row r="66" spans="2:22" x14ac:dyDescent="0.25">
      <c r="B66" s="19">
        <f t="shared" si="12"/>
        <v>287250000</v>
      </c>
      <c r="C66" s="19" t="str">
        <f t="shared" si="12"/>
        <v>and above</v>
      </c>
      <c r="E66" s="19">
        <f t="shared" ref="E66" si="20">O66-O67</f>
        <v>490699234.97795647</v>
      </c>
      <c r="G66" s="19">
        <f t="shared" si="13"/>
        <v>24232060.98656575</v>
      </c>
      <c r="H66" s="19">
        <f t="shared" si="13"/>
        <v>36348091.479848623</v>
      </c>
      <c r="I66" s="19">
        <f t="shared" si="13"/>
        <v>48464121.9731315</v>
      </c>
      <c r="J66" s="19">
        <f t="shared" si="13"/>
        <v>54522137.219772935</v>
      </c>
      <c r="K66" s="19">
        <f t="shared" si="13"/>
        <v>60580152.466414377</v>
      </c>
      <c r="L66" s="19">
        <f t="shared" si="13"/>
        <v>72696182.959697247</v>
      </c>
      <c r="M66" s="19">
        <f t="shared" si="13"/>
        <v>193856487.892526</v>
      </c>
      <c r="O66" s="19">
        <f t="shared" si="16"/>
        <v>490699234.97795647</v>
      </c>
      <c r="P66" s="18"/>
      <c r="Q66" s="24">
        <f t="shared" si="17"/>
        <v>0.97452857463306453</v>
      </c>
      <c r="R66" s="24">
        <f t="shared" si="17"/>
        <v>0.90583991685001297</v>
      </c>
      <c r="S66" s="24">
        <f t="shared" si="18"/>
        <v>1.9519608681025611</v>
      </c>
      <c r="T66" s="24">
        <f t="shared" si="19"/>
        <v>1.3155647650346682</v>
      </c>
      <c r="V66" s="24">
        <f t="shared" si="15"/>
        <v>0.97452857463306453</v>
      </c>
    </row>
    <row r="67" spans="2:22" x14ac:dyDescent="0.25">
      <c r="B67" s="17"/>
      <c r="C67" s="17"/>
      <c r="E67" s="17"/>
      <c r="G67" s="8"/>
      <c r="H67" s="8"/>
      <c r="I67" s="8"/>
      <c r="J67" s="8"/>
      <c r="K67" s="8"/>
      <c r="L67" s="8"/>
      <c r="M67" s="8"/>
      <c r="O67" s="17"/>
      <c r="P67" s="18"/>
      <c r="Q67" s="17"/>
      <c r="R67" s="17"/>
      <c r="S67" s="17"/>
      <c r="T67" s="17"/>
      <c r="V67" s="17"/>
    </row>
    <row r="69" spans="2:22" x14ac:dyDescent="0.25">
      <c r="E69" s="14" t="s">
        <v>54</v>
      </c>
      <c r="G69" s="19">
        <f t="shared" ref="G69:M69" si="21">SUM(G60:G66)</f>
        <v>25068680.059861999</v>
      </c>
      <c r="H69" s="19">
        <f t="shared" si="21"/>
        <v>39492910.586172819</v>
      </c>
      <c r="I69" s="19">
        <f t="shared" si="21"/>
        <v>56907074.934879266</v>
      </c>
      <c r="J69" s="19">
        <f t="shared" si="21"/>
        <v>73805219.941496968</v>
      </c>
      <c r="K69" s="19">
        <f t="shared" si="21"/>
        <v>149947373.7321195</v>
      </c>
      <c r="L69" s="19">
        <f t="shared" si="21"/>
        <v>210922252.85294342</v>
      </c>
      <c r="M69" s="19">
        <f t="shared" si="21"/>
        <v>193856487.892526</v>
      </c>
    </row>
    <row r="71" spans="2:22" x14ac:dyDescent="0.25">
      <c r="E71" s="14" t="s">
        <v>55</v>
      </c>
      <c r="G71" s="32">
        <f t="shared" ref="G71:M71" si="22">G69/G8</f>
        <v>250.68680059861998</v>
      </c>
      <c r="H71" s="32">
        <f t="shared" si="22"/>
        <v>263.28607057448545</v>
      </c>
      <c r="I71" s="32">
        <f t="shared" si="22"/>
        <v>284.53537467439634</v>
      </c>
      <c r="J71" s="32">
        <f t="shared" si="22"/>
        <v>328.02319973998652</v>
      </c>
      <c r="K71" s="32">
        <f t="shared" si="22"/>
        <v>599.78949492847801</v>
      </c>
      <c r="L71" s="32">
        <f t="shared" si="22"/>
        <v>703.07417617647809</v>
      </c>
      <c r="M71" s="32">
        <f t="shared" si="22"/>
        <v>242.3206098656575</v>
      </c>
    </row>
    <row r="73" spans="2:22" x14ac:dyDescent="0.25">
      <c r="E73" s="14" t="s">
        <v>78</v>
      </c>
      <c r="G73" s="33">
        <f>$C$9*SUMPRODUCT(G46:G52,$V$60:$V$66)*($C$7/G69)</f>
        <v>0.65226226325818581</v>
      </c>
      <c r="H73" s="33">
        <f t="shared" ref="H73:M73" si="23">$C$9*SUMPRODUCT(H46:H52,$V$60:$V$66)*($C$7/H69)</f>
        <v>0.62709294556826722</v>
      </c>
      <c r="I73" s="33">
        <f t="shared" si="23"/>
        <v>0.58873744763025349</v>
      </c>
      <c r="J73" s="33">
        <f t="shared" si="23"/>
        <v>0.52231638577216177</v>
      </c>
      <c r="K73" s="33">
        <f t="shared" si="23"/>
        <v>0.3012291691673642</v>
      </c>
      <c r="L73" s="33">
        <f t="shared" si="23"/>
        <v>0.23337628837219687</v>
      </c>
      <c r="M73" s="33">
        <f t="shared" si="23"/>
        <v>0.67027492707102854</v>
      </c>
    </row>
  </sheetData>
  <mergeCells count="4">
    <mergeCell ref="B15:C15"/>
    <mergeCell ref="B29:C29"/>
    <mergeCell ref="B43:C43"/>
    <mergeCell ref="B57:C5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0A85F-CCF8-4190-8EF4-7F8999DDDDCF}">
  <dimension ref="B5:V79"/>
  <sheetViews>
    <sheetView showGridLines="0" topLeftCell="A43" zoomScale="85" zoomScaleNormal="85" workbookViewId="0">
      <selection activeCell="C7" sqref="C7"/>
    </sheetView>
  </sheetViews>
  <sheetFormatPr defaultRowHeight="15" x14ac:dyDescent="0.25"/>
  <cols>
    <col min="2" max="3" width="17.140625" customWidth="1"/>
    <col min="4" max="4" width="2.85546875" customWidth="1"/>
    <col min="5" max="5" width="17.140625" customWidth="1"/>
    <col min="6" max="6" width="2.85546875" customWidth="1"/>
    <col min="7" max="13" width="17.140625" customWidth="1"/>
    <col min="15" max="15" width="17.140625" customWidth="1"/>
  </cols>
  <sheetData>
    <row r="5" spans="2:14" x14ac:dyDescent="0.25">
      <c r="B5" s="9" t="s">
        <v>33</v>
      </c>
      <c r="C5" s="9"/>
      <c r="G5" s="9" t="s">
        <v>9</v>
      </c>
      <c r="H5" s="9" t="s">
        <v>10</v>
      </c>
      <c r="I5" s="9" t="s">
        <v>11</v>
      </c>
      <c r="J5" s="9" t="s">
        <v>12</v>
      </c>
      <c r="K5" s="9" t="s">
        <v>13</v>
      </c>
      <c r="L5" s="9" t="s">
        <v>14</v>
      </c>
      <c r="M5" s="9" t="s">
        <v>15</v>
      </c>
    </row>
    <row r="6" spans="2:14" x14ac:dyDescent="0.25">
      <c r="B6" s="6"/>
      <c r="C6" s="6"/>
      <c r="G6" s="6"/>
      <c r="H6" s="6"/>
      <c r="I6" s="6"/>
      <c r="J6" s="6"/>
      <c r="K6" s="6"/>
      <c r="L6" s="6"/>
      <c r="M6" s="6"/>
    </row>
    <row r="7" spans="2:14" x14ac:dyDescent="0.25">
      <c r="B7" t="s">
        <v>34</v>
      </c>
      <c r="C7" s="7">
        <v>331951672.36751062</v>
      </c>
      <c r="G7" s="11">
        <f>'2.a Capital Structure'!D2</f>
        <v>6</v>
      </c>
      <c r="H7" s="11">
        <f>'2.a Capital Structure'!D3</f>
        <v>5</v>
      </c>
      <c r="I7" s="11">
        <f>'2.a Capital Structure'!D4</f>
        <v>4</v>
      </c>
      <c r="J7" s="11">
        <f>'2.a Capital Structure'!D5</f>
        <v>3</v>
      </c>
      <c r="K7" s="11">
        <f>'2.a Capital Structure'!D6</f>
        <v>2</v>
      </c>
      <c r="L7" s="11">
        <f>'2.a Capital Structure'!D7</f>
        <v>1</v>
      </c>
      <c r="M7" s="11"/>
      <c r="N7" s="11" t="s">
        <v>37</v>
      </c>
    </row>
    <row r="8" spans="2:14" x14ac:dyDescent="0.25">
      <c r="B8" t="s">
        <v>47</v>
      </c>
      <c r="C8">
        <v>2</v>
      </c>
      <c r="G8" s="12">
        <f>'2.a Capital Structure'!C2</f>
        <v>100000</v>
      </c>
      <c r="H8" s="12">
        <f>'2.a Capital Structure'!C3</f>
        <v>150000</v>
      </c>
      <c r="I8" s="12">
        <f>'2.a Capital Structure'!C4</f>
        <v>200000</v>
      </c>
      <c r="J8" s="12">
        <f>'2.a Capital Structure'!C5</f>
        <v>225000</v>
      </c>
      <c r="K8" s="12">
        <f>'2.a Capital Structure'!C6</f>
        <v>250000</v>
      </c>
      <c r="L8" s="12">
        <f>'2.a Capital Structure'!C7</f>
        <v>300000</v>
      </c>
      <c r="M8" s="12">
        <f>'2.a Capital Structure'!C8</f>
        <v>800000</v>
      </c>
      <c r="N8" s="11" t="s">
        <v>38</v>
      </c>
    </row>
    <row r="9" spans="2:14" x14ac:dyDescent="0.25">
      <c r="B9" t="s">
        <v>35</v>
      </c>
      <c r="C9" s="23">
        <v>0.45</v>
      </c>
      <c r="G9" s="13">
        <f>'2.a Capital Structure'!E2</f>
        <v>10</v>
      </c>
      <c r="H9" s="13">
        <f>'2.a Capital Structure'!E3</f>
        <v>25</v>
      </c>
      <c r="I9" s="13">
        <f>'2.a Capital Structure'!E4</f>
        <v>50</v>
      </c>
      <c r="J9" s="13">
        <f>'2.a Capital Structure'!E5</f>
        <v>100</v>
      </c>
      <c r="K9" s="13">
        <f>'2.a Capital Structure'!E6</f>
        <v>400</v>
      </c>
      <c r="L9" s="13">
        <f>'2.a Capital Structure'!E7</f>
        <v>500</v>
      </c>
      <c r="M9" s="11"/>
      <c r="N9" s="11" t="s">
        <v>40</v>
      </c>
    </row>
    <row r="10" spans="2:14" x14ac:dyDescent="0.25">
      <c r="B10" t="s">
        <v>36</v>
      </c>
      <c r="C10" s="23">
        <v>0.04</v>
      </c>
      <c r="G10" s="13">
        <f>G8*G9</f>
        <v>1000000</v>
      </c>
      <c r="H10" s="13">
        <f t="shared" ref="H10:L10" si="0">H8*H9</f>
        <v>3750000</v>
      </c>
      <c r="I10" s="13">
        <f t="shared" si="0"/>
        <v>10000000</v>
      </c>
      <c r="J10" s="13">
        <f t="shared" si="0"/>
        <v>22500000</v>
      </c>
      <c r="K10" s="13">
        <f t="shared" si="0"/>
        <v>100000000</v>
      </c>
      <c r="L10" s="13">
        <f t="shared" si="0"/>
        <v>150000000</v>
      </c>
      <c r="M10" s="11"/>
      <c r="N10" s="11" t="s">
        <v>39</v>
      </c>
    </row>
    <row r="11" spans="2:14" x14ac:dyDescent="0.25">
      <c r="B11" s="8"/>
      <c r="C11" s="8"/>
      <c r="G11" s="10"/>
      <c r="H11" s="10"/>
      <c r="I11" s="10"/>
      <c r="J11" s="10"/>
      <c r="K11" s="10"/>
      <c r="L11" s="10"/>
      <c r="M11" s="8"/>
    </row>
    <row r="15" spans="2:14" x14ac:dyDescent="0.25">
      <c r="B15" s="31" t="s">
        <v>41</v>
      </c>
      <c r="C15" s="31"/>
      <c r="E15" s="16"/>
      <c r="G15" s="16"/>
      <c r="H15" s="16"/>
      <c r="I15" s="16"/>
      <c r="J15" s="16"/>
      <c r="K15" s="16"/>
      <c r="L15" s="16"/>
      <c r="M15" s="16"/>
    </row>
    <row r="16" spans="2:14" x14ac:dyDescent="0.25">
      <c r="B16" s="17" t="s">
        <v>17</v>
      </c>
      <c r="C16" s="17" t="s">
        <v>18</v>
      </c>
      <c r="E16" s="17"/>
      <c r="G16" s="21" t="str">
        <f t="shared" ref="G16:M16" si="1">G5</f>
        <v>Series A Preferred</v>
      </c>
      <c r="H16" s="21" t="str">
        <f t="shared" si="1"/>
        <v>Series B Preferred</v>
      </c>
      <c r="I16" s="21" t="str">
        <f t="shared" si="1"/>
        <v>Series C Preferred</v>
      </c>
      <c r="J16" s="21" t="str">
        <f t="shared" si="1"/>
        <v>Series D Preferred</v>
      </c>
      <c r="K16" s="21" t="str">
        <f t="shared" si="1"/>
        <v>Series E Preferred</v>
      </c>
      <c r="L16" s="21" t="str">
        <f t="shared" si="1"/>
        <v>Series F Preferred</v>
      </c>
      <c r="M16" s="21" t="str">
        <f t="shared" si="1"/>
        <v>Common</v>
      </c>
    </row>
    <row r="17" spans="2:13" x14ac:dyDescent="0.25">
      <c r="B17" s="18"/>
      <c r="C17" s="18"/>
      <c r="E17" s="18"/>
      <c r="G17" s="18"/>
      <c r="H17" s="18"/>
      <c r="I17" s="18"/>
      <c r="J17" s="18"/>
      <c r="K17" s="18"/>
      <c r="L17" s="18"/>
      <c r="M17" s="18"/>
    </row>
    <row r="18" spans="2:13" x14ac:dyDescent="0.25">
      <c r="B18" s="19">
        <v>0</v>
      </c>
      <c r="C18" s="19">
        <f>B18+SUM(G18:L18)</f>
        <v>150000000</v>
      </c>
      <c r="E18" s="18"/>
      <c r="G18" s="18"/>
      <c r="H18" s="18"/>
      <c r="I18" s="18"/>
      <c r="J18" s="18"/>
      <c r="K18" s="18"/>
      <c r="L18" s="19">
        <f>L10</f>
        <v>150000000</v>
      </c>
      <c r="M18" s="18"/>
    </row>
    <row r="19" spans="2:13" x14ac:dyDescent="0.25">
      <c r="B19" s="19">
        <f>C18</f>
        <v>150000000</v>
      </c>
      <c r="C19" s="19">
        <f t="shared" ref="C19:C23" si="2">B19+SUM(G19:L19)</f>
        <v>250000000</v>
      </c>
      <c r="E19" s="18"/>
      <c r="G19" s="18"/>
      <c r="H19" s="18"/>
      <c r="I19" s="18"/>
      <c r="J19" s="18"/>
      <c r="K19" s="19">
        <f>K10</f>
        <v>100000000</v>
      </c>
      <c r="L19" s="18"/>
      <c r="M19" s="18"/>
    </row>
    <row r="20" spans="2:13" x14ac:dyDescent="0.25">
      <c r="B20" s="19">
        <f t="shared" ref="B20:B24" si="3">C19</f>
        <v>250000000</v>
      </c>
      <c r="C20" s="19">
        <f t="shared" si="2"/>
        <v>272500000</v>
      </c>
      <c r="E20" s="18"/>
      <c r="G20" s="18"/>
      <c r="H20" s="18"/>
      <c r="I20" s="18"/>
      <c r="J20" s="19">
        <f>J10</f>
        <v>22500000</v>
      </c>
      <c r="K20" s="18"/>
      <c r="L20" s="18"/>
      <c r="M20" s="18"/>
    </row>
    <row r="21" spans="2:13" x14ac:dyDescent="0.25">
      <c r="B21" s="19">
        <f t="shared" si="3"/>
        <v>272500000</v>
      </c>
      <c r="C21" s="19">
        <f t="shared" si="2"/>
        <v>282500000</v>
      </c>
      <c r="E21" s="18"/>
      <c r="G21" s="18"/>
      <c r="H21" s="18"/>
      <c r="I21" s="19">
        <f>I10</f>
        <v>10000000</v>
      </c>
      <c r="J21" s="18"/>
      <c r="K21" s="18"/>
      <c r="L21" s="18"/>
      <c r="M21" s="18"/>
    </row>
    <row r="22" spans="2:13" x14ac:dyDescent="0.25">
      <c r="B22" s="19">
        <f t="shared" si="3"/>
        <v>282500000</v>
      </c>
      <c r="C22" s="19">
        <f t="shared" si="2"/>
        <v>286250000</v>
      </c>
      <c r="E22" s="18"/>
      <c r="G22" s="18"/>
      <c r="H22" s="19">
        <f>H10</f>
        <v>3750000</v>
      </c>
      <c r="I22" s="18"/>
      <c r="J22" s="18"/>
      <c r="K22" s="18"/>
      <c r="L22" s="18"/>
      <c r="M22" s="18"/>
    </row>
    <row r="23" spans="2:13" x14ac:dyDescent="0.25">
      <c r="B23" s="19">
        <f t="shared" si="3"/>
        <v>286250000</v>
      </c>
      <c r="C23" s="19">
        <f t="shared" si="2"/>
        <v>287250000</v>
      </c>
      <c r="E23" s="18"/>
      <c r="G23" s="19">
        <f>G10</f>
        <v>1000000</v>
      </c>
      <c r="H23" s="18"/>
      <c r="I23" s="18"/>
      <c r="J23" s="18"/>
      <c r="K23" s="18"/>
      <c r="L23" s="18"/>
      <c r="M23" s="18"/>
    </row>
    <row r="24" spans="2:13" x14ac:dyDescent="0.25">
      <c r="B24" s="19">
        <f t="shared" si="3"/>
        <v>287250000</v>
      </c>
      <c r="C24" s="19" t="s">
        <v>19</v>
      </c>
      <c r="E24" s="19"/>
      <c r="G24" s="20">
        <f t="shared" ref="G24:L24" si="4">G$8</f>
        <v>100000</v>
      </c>
      <c r="H24" s="20">
        <f t="shared" si="4"/>
        <v>150000</v>
      </c>
      <c r="I24" s="20">
        <f t="shared" si="4"/>
        <v>200000</v>
      </c>
      <c r="J24" s="20">
        <f t="shared" si="4"/>
        <v>225000</v>
      </c>
      <c r="K24" s="20">
        <f t="shared" si="4"/>
        <v>250000</v>
      </c>
      <c r="L24" s="20">
        <f t="shared" si="4"/>
        <v>300000</v>
      </c>
      <c r="M24" s="20">
        <f>M$8</f>
        <v>800000</v>
      </c>
    </row>
    <row r="25" spans="2:13" x14ac:dyDescent="0.25">
      <c r="B25" s="17"/>
      <c r="C25" s="17"/>
      <c r="E25" s="17"/>
      <c r="G25" s="17"/>
      <c r="H25" s="17"/>
      <c r="I25" s="17"/>
      <c r="J25" s="17"/>
      <c r="K25" s="17"/>
      <c r="L25" s="17"/>
      <c r="M25" s="17"/>
    </row>
    <row r="29" spans="2:13" x14ac:dyDescent="0.25">
      <c r="B29" s="31" t="s">
        <v>41</v>
      </c>
      <c r="C29" s="31"/>
      <c r="D29" s="18"/>
      <c r="E29" s="15" t="s">
        <v>42</v>
      </c>
      <c r="G29" s="6"/>
      <c r="H29" s="6"/>
      <c r="I29" s="6"/>
      <c r="J29" s="6"/>
      <c r="K29" s="6"/>
      <c r="L29" s="6"/>
      <c r="M29" s="6"/>
    </row>
    <row r="30" spans="2:13" x14ac:dyDescent="0.25">
      <c r="B30" s="17" t="str">
        <f>B16</f>
        <v xml:space="preserve">From </v>
      </c>
      <c r="C30" s="17" t="str">
        <f>C16</f>
        <v>To</v>
      </c>
      <c r="D30" s="18"/>
      <c r="E30" s="21" t="s">
        <v>43</v>
      </c>
      <c r="G30" s="8"/>
      <c r="H30" s="8"/>
      <c r="I30" s="8"/>
      <c r="J30" s="8"/>
      <c r="K30" s="8"/>
      <c r="L30" s="8"/>
      <c r="M30" s="8"/>
    </row>
    <row r="31" spans="2:13" x14ac:dyDescent="0.25">
      <c r="B31" s="18"/>
      <c r="C31" s="18"/>
      <c r="D31" s="18"/>
      <c r="E31" s="18"/>
    </row>
    <row r="32" spans="2:13" x14ac:dyDescent="0.25">
      <c r="B32" s="18">
        <f t="shared" ref="B32:C38" si="5">B18</f>
        <v>0</v>
      </c>
      <c r="C32" s="19">
        <f t="shared" si="5"/>
        <v>150000000</v>
      </c>
      <c r="D32" s="18"/>
      <c r="E32" s="19">
        <f>C32-B32</f>
        <v>150000000</v>
      </c>
      <c r="G32" t="s">
        <v>20</v>
      </c>
      <c r="L32" s="7"/>
    </row>
    <row r="33" spans="2:13" x14ac:dyDescent="0.25">
      <c r="B33" s="19">
        <f t="shared" si="5"/>
        <v>150000000</v>
      </c>
      <c r="C33" s="19">
        <f t="shared" si="5"/>
        <v>250000000</v>
      </c>
      <c r="D33" s="18"/>
      <c r="E33" s="19">
        <f t="shared" ref="E33:E37" si="6">C33-B33</f>
        <v>100000000</v>
      </c>
      <c r="G33" t="s">
        <v>21</v>
      </c>
      <c r="K33" s="7"/>
    </row>
    <row r="34" spans="2:13" x14ac:dyDescent="0.25">
      <c r="B34" s="19">
        <f t="shared" si="5"/>
        <v>250000000</v>
      </c>
      <c r="C34" s="19">
        <f t="shared" si="5"/>
        <v>272500000</v>
      </c>
      <c r="D34" s="18"/>
      <c r="E34" s="19">
        <f t="shared" si="6"/>
        <v>22500000</v>
      </c>
      <c r="G34" t="s">
        <v>22</v>
      </c>
      <c r="J34" s="7"/>
    </row>
    <row r="35" spans="2:13" x14ac:dyDescent="0.25">
      <c r="B35" s="19">
        <f t="shared" si="5"/>
        <v>272500000</v>
      </c>
      <c r="C35" s="19">
        <f t="shared" si="5"/>
        <v>282500000</v>
      </c>
      <c r="D35" s="18"/>
      <c r="E35" s="19">
        <f t="shared" si="6"/>
        <v>10000000</v>
      </c>
      <c r="G35" t="s">
        <v>23</v>
      </c>
      <c r="I35" s="7"/>
    </row>
    <row r="36" spans="2:13" x14ac:dyDescent="0.25">
      <c r="B36" s="19">
        <f t="shared" si="5"/>
        <v>282500000</v>
      </c>
      <c r="C36" s="19">
        <f t="shared" si="5"/>
        <v>286250000</v>
      </c>
      <c r="D36" s="18"/>
      <c r="E36" s="19">
        <f t="shared" si="6"/>
        <v>3750000</v>
      </c>
      <c r="G36" t="s">
        <v>24</v>
      </c>
      <c r="H36" s="7"/>
    </row>
    <row r="37" spans="2:13" x14ac:dyDescent="0.25">
      <c r="B37" s="19">
        <f t="shared" si="5"/>
        <v>286250000</v>
      </c>
      <c r="C37" s="19">
        <f t="shared" si="5"/>
        <v>287250000</v>
      </c>
      <c r="D37" s="18"/>
      <c r="E37" s="19">
        <f t="shared" si="6"/>
        <v>1000000</v>
      </c>
      <c r="G37" s="7" t="s">
        <v>25</v>
      </c>
    </row>
    <row r="38" spans="2:13" x14ac:dyDescent="0.25">
      <c r="B38" s="19">
        <f t="shared" si="5"/>
        <v>287250000</v>
      </c>
      <c r="C38" s="19" t="str">
        <f t="shared" si="5"/>
        <v>and above</v>
      </c>
      <c r="D38" s="18"/>
      <c r="E38" s="19"/>
      <c r="G38" s="3" t="s">
        <v>72</v>
      </c>
      <c r="M38" s="3"/>
    </row>
    <row r="39" spans="2:13" x14ac:dyDescent="0.25">
      <c r="B39" s="17"/>
      <c r="C39" s="17"/>
      <c r="D39" s="18"/>
      <c r="E39" s="17"/>
      <c r="G39" s="8"/>
      <c r="H39" s="8"/>
      <c r="I39" s="8"/>
      <c r="J39" s="8"/>
      <c r="K39" s="8"/>
      <c r="L39" s="8"/>
      <c r="M39" s="8"/>
    </row>
    <row r="43" spans="2:13" x14ac:dyDescent="0.25">
      <c r="B43" s="31" t="s">
        <v>41</v>
      </c>
      <c r="C43" s="31"/>
      <c r="E43" s="15" t="s">
        <v>44</v>
      </c>
      <c r="G43" s="16"/>
      <c r="H43" s="16"/>
      <c r="I43" s="16"/>
      <c r="J43" s="16"/>
      <c r="K43" s="16"/>
      <c r="L43" s="16"/>
      <c r="M43" s="16"/>
    </row>
    <row r="44" spans="2:13" x14ac:dyDescent="0.25">
      <c r="B44" s="17" t="str">
        <f>B30</f>
        <v xml:space="preserve">From </v>
      </c>
      <c r="C44" s="17" t="str">
        <f>C30</f>
        <v>To</v>
      </c>
      <c r="E44" s="21" t="s">
        <v>45</v>
      </c>
      <c r="G44" s="21" t="str">
        <f t="shared" ref="G44:M44" si="7">G16</f>
        <v>Series A Preferred</v>
      </c>
      <c r="H44" s="21" t="str">
        <f t="shared" si="7"/>
        <v>Series B Preferred</v>
      </c>
      <c r="I44" s="21" t="str">
        <f t="shared" si="7"/>
        <v>Series C Preferred</v>
      </c>
      <c r="J44" s="21" t="str">
        <f t="shared" si="7"/>
        <v>Series D Preferred</v>
      </c>
      <c r="K44" s="21" t="str">
        <f t="shared" si="7"/>
        <v>Series E Preferred</v>
      </c>
      <c r="L44" s="21" t="str">
        <f t="shared" si="7"/>
        <v>Series F Preferred</v>
      </c>
      <c r="M44" s="21" t="str">
        <f t="shared" si="7"/>
        <v>Common</v>
      </c>
    </row>
    <row r="45" spans="2:13" x14ac:dyDescent="0.25">
      <c r="B45" s="18"/>
      <c r="C45" s="18"/>
      <c r="E45" s="18"/>
      <c r="G45" s="18"/>
      <c r="H45" s="18"/>
      <c r="I45" s="18"/>
      <c r="J45" s="18"/>
      <c r="K45" s="18"/>
      <c r="L45" s="18"/>
      <c r="M45" s="18"/>
    </row>
    <row r="46" spans="2:13" x14ac:dyDescent="0.25">
      <c r="B46" s="18">
        <f t="shared" ref="B46:C52" si="8">B32</f>
        <v>0</v>
      </c>
      <c r="C46" s="19">
        <f t="shared" si="8"/>
        <v>150000000</v>
      </c>
      <c r="E46" s="22">
        <f>SUM(G46:M46)</f>
        <v>1</v>
      </c>
      <c r="G46" s="22">
        <f t="shared" ref="G46:M52" si="9">G18/SUM($G18:$M18)</f>
        <v>0</v>
      </c>
      <c r="H46" s="22">
        <f t="shared" si="9"/>
        <v>0</v>
      </c>
      <c r="I46" s="22">
        <f t="shared" si="9"/>
        <v>0</v>
      </c>
      <c r="J46" s="22">
        <f t="shared" si="9"/>
        <v>0</v>
      </c>
      <c r="K46" s="22">
        <f t="shared" si="9"/>
        <v>0</v>
      </c>
      <c r="L46" s="22">
        <f t="shared" si="9"/>
        <v>1</v>
      </c>
      <c r="M46" s="22">
        <f t="shared" si="9"/>
        <v>0</v>
      </c>
    </row>
    <row r="47" spans="2:13" x14ac:dyDescent="0.25">
      <c r="B47" s="19">
        <f t="shared" si="8"/>
        <v>150000000</v>
      </c>
      <c r="C47" s="19">
        <f t="shared" si="8"/>
        <v>250000000</v>
      </c>
      <c r="E47" s="22">
        <f t="shared" ref="E47:E52" si="10">SUM(G47:M47)</f>
        <v>1</v>
      </c>
      <c r="G47" s="22">
        <f t="shared" si="9"/>
        <v>0</v>
      </c>
      <c r="H47" s="22">
        <f t="shared" si="9"/>
        <v>0</v>
      </c>
      <c r="I47" s="22">
        <f t="shared" si="9"/>
        <v>0</v>
      </c>
      <c r="J47" s="22">
        <f t="shared" si="9"/>
        <v>0</v>
      </c>
      <c r="K47" s="22">
        <f t="shared" si="9"/>
        <v>1</v>
      </c>
      <c r="L47" s="22">
        <f t="shared" si="9"/>
        <v>0</v>
      </c>
      <c r="M47" s="22">
        <f t="shared" si="9"/>
        <v>0</v>
      </c>
    </row>
    <row r="48" spans="2:13" x14ac:dyDescent="0.25">
      <c r="B48" s="19">
        <f t="shared" si="8"/>
        <v>250000000</v>
      </c>
      <c r="C48" s="19">
        <f t="shared" si="8"/>
        <v>272500000</v>
      </c>
      <c r="E48" s="22">
        <f t="shared" si="10"/>
        <v>1</v>
      </c>
      <c r="G48" s="22">
        <f t="shared" si="9"/>
        <v>0</v>
      </c>
      <c r="H48" s="22">
        <f t="shared" si="9"/>
        <v>0</v>
      </c>
      <c r="I48" s="22">
        <f t="shared" si="9"/>
        <v>0</v>
      </c>
      <c r="J48" s="22">
        <f t="shared" si="9"/>
        <v>1</v>
      </c>
      <c r="K48" s="22">
        <f t="shared" si="9"/>
        <v>0</v>
      </c>
      <c r="L48" s="22">
        <f t="shared" si="9"/>
        <v>0</v>
      </c>
      <c r="M48" s="22">
        <f t="shared" si="9"/>
        <v>0</v>
      </c>
    </row>
    <row r="49" spans="2:22" x14ac:dyDescent="0.25">
      <c r="B49" s="19">
        <f t="shared" si="8"/>
        <v>272500000</v>
      </c>
      <c r="C49" s="19">
        <f t="shared" si="8"/>
        <v>282500000</v>
      </c>
      <c r="E49" s="22">
        <f t="shared" si="10"/>
        <v>1</v>
      </c>
      <c r="G49" s="22">
        <f t="shared" si="9"/>
        <v>0</v>
      </c>
      <c r="H49" s="22">
        <f t="shared" si="9"/>
        <v>0</v>
      </c>
      <c r="I49" s="22">
        <f t="shared" si="9"/>
        <v>1</v>
      </c>
      <c r="J49" s="22">
        <f t="shared" si="9"/>
        <v>0</v>
      </c>
      <c r="K49" s="22">
        <f t="shared" si="9"/>
        <v>0</v>
      </c>
      <c r="L49" s="22">
        <f t="shared" si="9"/>
        <v>0</v>
      </c>
      <c r="M49" s="22">
        <f t="shared" si="9"/>
        <v>0</v>
      </c>
    </row>
    <row r="50" spans="2:22" x14ac:dyDescent="0.25">
      <c r="B50" s="19">
        <f t="shared" si="8"/>
        <v>282500000</v>
      </c>
      <c r="C50" s="19">
        <f t="shared" si="8"/>
        <v>286250000</v>
      </c>
      <c r="E50" s="22">
        <f t="shared" si="10"/>
        <v>1</v>
      </c>
      <c r="G50" s="22">
        <f t="shared" si="9"/>
        <v>0</v>
      </c>
      <c r="H50" s="22">
        <f t="shared" si="9"/>
        <v>1</v>
      </c>
      <c r="I50" s="22">
        <f t="shared" si="9"/>
        <v>0</v>
      </c>
      <c r="J50" s="22">
        <f t="shared" si="9"/>
        <v>0</v>
      </c>
      <c r="K50" s="22">
        <f t="shared" si="9"/>
        <v>0</v>
      </c>
      <c r="L50" s="22">
        <f t="shared" si="9"/>
        <v>0</v>
      </c>
      <c r="M50" s="22">
        <f t="shared" si="9"/>
        <v>0</v>
      </c>
    </row>
    <row r="51" spans="2:22" x14ac:dyDescent="0.25">
      <c r="B51" s="19">
        <f t="shared" si="8"/>
        <v>286250000</v>
      </c>
      <c r="C51" s="19">
        <f t="shared" si="8"/>
        <v>287250000</v>
      </c>
      <c r="E51" s="22">
        <f t="shared" si="10"/>
        <v>1</v>
      </c>
      <c r="G51" s="22">
        <f t="shared" si="9"/>
        <v>1</v>
      </c>
      <c r="H51" s="22">
        <f t="shared" si="9"/>
        <v>0</v>
      </c>
      <c r="I51" s="22">
        <f t="shared" si="9"/>
        <v>0</v>
      </c>
      <c r="J51" s="22">
        <f t="shared" si="9"/>
        <v>0</v>
      </c>
      <c r="K51" s="22">
        <f t="shared" si="9"/>
        <v>0</v>
      </c>
      <c r="L51" s="22">
        <f t="shared" si="9"/>
        <v>0</v>
      </c>
      <c r="M51" s="22">
        <f t="shared" si="9"/>
        <v>0</v>
      </c>
    </row>
    <row r="52" spans="2:22" x14ac:dyDescent="0.25">
      <c r="B52" s="19">
        <f t="shared" si="8"/>
        <v>287250000</v>
      </c>
      <c r="C52" s="19" t="str">
        <f t="shared" si="8"/>
        <v>and above</v>
      </c>
      <c r="E52" s="22">
        <f t="shared" si="10"/>
        <v>1</v>
      </c>
      <c r="G52" s="22">
        <f t="shared" si="9"/>
        <v>4.9382716049382713E-2</v>
      </c>
      <c r="H52" s="22">
        <f t="shared" si="9"/>
        <v>7.407407407407407E-2</v>
      </c>
      <c r="I52" s="22">
        <f t="shared" si="9"/>
        <v>9.8765432098765427E-2</v>
      </c>
      <c r="J52" s="22">
        <f t="shared" si="9"/>
        <v>0.1111111111111111</v>
      </c>
      <c r="K52" s="22">
        <f t="shared" si="9"/>
        <v>0.12345679012345678</v>
      </c>
      <c r="L52" s="22">
        <f t="shared" si="9"/>
        <v>0.14814814814814814</v>
      </c>
      <c r="M52" s="22">
        <f t="shared" si="9"/>
        <v>0.39506172839506171</v>
      </c>
    </row>
    <row r="53" spans="2:22" x14ac:dyDescent="0.25">
      <c r="B53" s="17"/>
      <c r="C53" s="17"/>
      <c r="E53" s="17"/>
      <c r="G53" s="17"/>
      <c r="H53" s="17"/>
      <c r="I53" s="17"/>
      <c r="J53" s="17"/>
      <c r="K53" s="17"/>
      <c r="L53" s="17"/>
      <c r="M53" s="17"/>
    </row>
    <row r="54" spans="2:22" x14ac:dyDescent="0.25">
      <c r="G54" s="18"/>
      <c r="H54" s="18"/>
      <c r="I54" s="18"/>
      <c r="J54" s="18"/>
      <c r="K54" s="18"/>
      <c r="L54" s="18"/>
      <c r="M54" s="18"/>
    </row>
    <row r="55" spans="2:22" x14ac:dyDescent="0.25">
      <c r="G55" s="18"/>
      <c r="H55" s="18"/>
      <c r="I55" s="18"/>
      <c r="J55" s="18"/>
      <c r="K55" s="18"/>
      <c r="L55" s="18"/>
      <c r="M55" s="18"/>
    </row>
    <row r="56" spans="2:22" x14ac:dyDescent="0.25">
      <c r="G56" s="18"/>
      <c r="H56" s="18"/>
      <c r="I56" s="18"/>
      <c r="J56" s="18"/>
      <c r="K56" s="18"/>
      <c r="L56" s="18"/>
      <c r="M56" s="18"/>
    </row>
    <row r="57" spans="2:22" x14ac:dyDescent="0.25">
      <c r="B57" s="31" t="str">
        <f>B43</f>
        <v>Breakpoints</v>
      </c>
      <c r="C57" s="31">
        <f>C43</f>
        <v>0</v>
      </c>
      <c r="E57" s="15" t="s">
        <v>46</v>
      </c>
      <c r="G57" s="16"/>
      <c r="H57" s="16"/>
      <c r="I57" s="16"/>
      <c r="J57" s="16"/>
      <c r="K57" s="16"/>
      <c r="L57" s="16"/>
      <c r="M57" s="16"/>
      <c r="O57" s="16" t="s">
        <v>52</v>
      </c>
      <c r="P57" s="18"/>
      <c r="Q57" s="16"/>
      <c r="R57" s="16"/>
      <c r="S57" s="16"/>
      <c r="T57" s="16"/>
      <c r="V57" s="16" t="s">
        <v>42</v>
      </c>
    </row>
    <row r="58" spans="2:22" x14ac:dyDescent="0.25">
      <c r="B58" s="17" t="str">
        <f>B44</f>
        <v xml:space="preserve">From </v>
      </c>
      <c r="C58" s="17" t="str">
        <f>C44</f>
        <v>To</v>
      </c>
      <c r="E58" s="17"/>
      <c r="G58" s="21" t="str">
        <f t="shared" ref="G58:M58" si="11">G5</f>
        <v>Series A Preferred</v>
      </c>
      <c r="H58" s="21" t="str">
        <f t="shared" si="11"/>
        <v>Series B Preferred</v>
      </c>
      <c r="I58" s="21" t="str">
        <f t="shared" si="11"/>
        <v>Series C Preferred</v>
      </c>
      <c r="J58" s="21" t="str">
        <f t="shared" si="11"/>
        <v>Series D Preferred</v>
      </c>
      <c r="K58" s="21" t="str">
        <f t="shared" si="11"/>
        <v>Series E Preferred</v>
      </c>
      <c r="L58" s="21" t="str">
        <f t="shared" si="11"/>
        <v>Series F Preferred</v>
      </c>
      <c r="M58" s="21" t="str">
        <f t="shared" si="11"/>
        <v>Common</v>
      </c>
      <c r="O58" s="17" t="s">
        <v>53</v>
      </c>
      <c r="P58" s="18"/>
      <c r="Q58" s="17" t="s">
        <v>48</v>
      </c>
      <c r="R58" s="17" t="s">
        <v>49</v>
      </c>
      <c r="S58" s="17" t="s">
        <v>50</v>
      </c>
      <c r="T58" s="17" t="s">
        <v>51</v>
      </c>
      <c r="V58" s="17" t="s">
        <v>48</v>
      </c>
    </row>
    <row r="59" spans="2:22" x14ac:dyDescent="0.25">
      <c r="B59" s="18"/>
      <c r="C59" s="18"/>
      <c r="E59" s="16"/>
      <c r="G59" s="6"/>
      <c r="H59" s="6"/>
      <c r="I59" s="6"/>
      <c r="J59" s="6"/>
      <c r="K59" s="6"/>
      <c r="L59" s="6"/>
      <c r="M59" s="6"/>
      <c r="O59" s="16"/>
      <c r="P59" s="18"/>
      <c r="Q59" s="16"/>
      <c r="R59" s="16"/>
      <c r="S59" s="16"/>
      <c r="T59" s="16"/>
      <c r="V59" s="16"/>
    </row>
    <row r="60" spans="2:22" x14ac:dyDescent="0.25">
      <c r="B60" s="18">
        <f t="shared" ref="B60:C66" si="12">B46</f>
        <v>0</v>
      </c>
      <c r="C60" s="19">
        <f t="shared" si="12"/>
        <v>150000000</v>
      </c>
      <c r="E60" s="19">
        <f>O60-O61</f>
        <v>133355147.79705966</v>
      </c>
      <c r="G60" s="19">
        <f t="shared" ref="G60:M66" si="13">$E60*G46</f>
        <v>0</v>
      </c>
      <c r="H60" s="19">
        <f t="shared" si="13"/>
        <v>0</v>
      </c>
      <c r="I60" s="19">
        <f t="shared" si="13"/>
        <v>0</v>
      </c>
      <c r="J60" s="19">
        <f t="shared" si="13"/>
        <v>0</v>
      </c>
      <c r="K60" s="19">
        <f t="shared" si="13"/>
        <v>0</v>
      </c>
      <c r="L60" s="19">
        <f t="shared" si="13"/>
        <v>133355147.79705966</v>
      </c>
      <c r="M60" s="19">
        <f t="shared" si="13"/>
        <v>0</v>
      </c>
      <c r="O60" s="19">
        <f>C7</f>
        <v>331951672.36751062</v>
      </c>
      <c r="P60" s="18"/>
      <c r="Q60" s="18">
        <v>1</v>
      </c>
      <c r="R60" s="18"/>
      <c r="S60" s="18"/>
      <c r="T60" s="18"/>
      <c r="V60" s="24">
        <f>Q60-Q61</f>
        <v>4.5312218127381176E-2</v>
      </c>
    </row>
    <row r="61" spans="2:22" x14ac:dyDescent="0.25">
      <c r="B61" s="19">
        <f t="shared" si="12"/>
        <v>150000000</v>
      </c>
      <c r="C61" s="19">
        <f t="shared" si="12"/>
        <v>250000000</v>
      </c>
      <c r="E61" s="19">
        <f t="shared" ref="E61:E66" si="14">O61-O62</f>
        <v>67121502.537824094</v>
      </c>
      <c r="G61" s="19">
        <f t="shared" si="13"/>
        <v>0</v>
      </c>
      <c r="H61" s="19">
        <f t="shared" si="13"/>
        <v>0</v>
      </c>
      <c r="I61" s="19">
        <f t="shared" si="13"/>
        <v>0</v>
      </c>
      <c r="J61" s="19">
        <f t="shared" si="13"/>
        <v>0</v>
      </c>
      <c r="K61" s="19">
        <f t="shared" si="13"/>
        <v>67121502.537824094</v>
      </c>
      <c r="L61" s="19">
        <f t="shared" si="13"/>
        <v>0</v>
      </c>
      <c r="M61" s="19">
        <f t="shared" si="13"/>
        <v>0</v>
      </c>
      <c r="O61" s="19">
        <f>$C$7*Q61-B61*EXP(-$C$10*$C$8)*R61</f>
        <v>198596524.57045096</v>
      </c>
      <c r="P61" s="18"/>
      <c r="Q61" s="24">
        <f>NORMSDIST(S61)</f>
        <v>0.95468778187261882</v>
      </c>
      <c r="R61" s="24">
        <f>NORMSDIST(T61)</f>
        <v>0.85445120523258411</v>
      </c>
      <c r="S61" s="24">
        <f>(LN($C$7/B61)+($C$10+$C$9*$C$9/2)*$C$8)/($C$9*SQRT($C$8))</f>
        <v>1.6921129684409992</v>
      </c>
      <c r="T61" s="24">
        <f>S61-$C$9*SQRT($C$8)</f>
        <v>1.0557168653731064</v>
      </c>
      <c r="V61" s="24">
        <f t="shared" ref="V61:V66" si="15">Q61-Q62</f>
        <v>0.14157434905109811</v>
      </c>
    </row>
    <row r="62" spans="2:22" x14ac:dyDescent="0.25">
      <c r="B62" s="19">
        <f t="shared" si="12"/>
        <v>250000000</v>
      </c>
      <c r="C62" s="19">
        <f t="shared" si="12"/>
        <v>272500000</v>
      </c>
      <c r="E62" s="19">
        <f t="shared" si="14"/>
        <v>11902855.87538597</v>
      </c>
      <c r="G62" s="19">
        <f t="shared" si="13"/>
        <v>0</v>
      </c>
      <c r="H62" s="19">
        <f t="shared" si="13"/>
        <v>0</v>
      </c>
      <c r="I62" s="19">
        <f t="shared" si="13"/>
        <v>0</v>
      </c>
      <c r="J62" s="19">
        <f t="shared" si="13"/>
        <v>11902855.87538597</v>
      </c>
      <c r="K62" s="19">
        <f t="shared" si="13"/>
        <v>0</v>
      </c>
      <c r="L62" s="19">
        <f t="shared" si="13"/>
        <v>0</v>
      </c>
      <c r="M62" s="19">
        <f t="shared" si="13"/>
        <v>0</v>
      </c>
      <c r="O62" s="19">
        <f t="shared" ref="O62:O66" si="16">$C$7*Q62-B62*EXP(-$C$10*$C$8)*R62</f>
        <v>131475022.03262687</v>
      </c>
      <c r="P62" s="18"/>
      <c r="Q62" s="24">
        <f t="shared" ref="Q62:R66" si="17">NORMSDIST(S62)</f>
        <v>0.81311343282152071</v>
      </c>
      <c r="R62" s="24">
        <f t="shared" si="17"/>
        <v>0.59987819459100278</v>
      </c>
      <c r="S62" s="24">
        <f t="shared" ref="S62:S66" si="18">(LN($C$7/B62)+($C$10+$C$9*$C$9/2)*$C$8)/($C$9*SQRT($C$8))</f>
        <v>0.88942794051037721</v>
      </c>
      <c r="T62" s="24">
        <f t="shared" ref="T62:T66" si="19">S62-$C$9*SQRT($C$8)</f>
        <v>0.25303183744248436</v>
      </c>
      <c r="V62" s="24">
        <f t="shared" si="15"/>
        <v>3.8534214186892513E-2</v>
      </c>
    </row>
    <row r="63" spans="2:22" x14ac:dyDescent="0.25">
      <c r="B63" s="19">
        <f t="shared" si="12"/>
        <v>272500000</v>
      </c>
      <c r="C63" s="19">
        <f t="shared" si="12"/>
        <v>282500000</v>
      </c>
      <c r="E63" s="19">
        <f t="shared" si="14"/>
        <v>4943346.5076083541</v>
      </c>
      <c r="G63" s="19">
        <f t="shared" si="13"/>
        <v>0</v>
      </c>
      <c r="H63" s="19">
        <f t="shared" si="13"/>
        <v>0</v>
      </c>
      <c r="I63" s="19">
        <f t="shared" si="13"/>
        <v>4943346.5076083541</v>
      </c>
      <c r="J63" s="19">
        <f t="shared" si="13"/>
        <v>0</v>
      </c>
      <c r="K63" s="19">
        <f t="shared" si="13"/>
        <v>0</v>
      </c>
      <c r="L63" s="19">
        <f t="shared" si="13"/>
        <v>0</v>
      </c>
      <c r="M63" s="19">
        <f t="shared" si="13"/>
        <v>0</v>
      </c>
      <c r="O63" s="19">
        <f t="shared" si="16"/>
        <v>119572166.1572409</v>
      </c>
      <c r="P63" s="18"/>
      <c r="Q63" s="24">
        <f t="shared" si="17"/>
        <v>0.7745792186346282</v>
      </c>
      <c r="R63" s="24">
        <f t="shared" si="17"/>
        <v>0.54681429497264533</v>
      </c>
      <c r="S63" s="24">
        <f t="shared" si="18"/>
        <v>0.75401275517908251</v>
      </c>
      <c r="T63" s="24">
        <f t="shared" si="19"/>
        <v>0.11761665211118966</v>
      </c>
      <c r="V63" s="24">
        <f t="shared" si="15"/>
        <v>1.7361269613461516E-2</v>
      </c>
    </row>
    <row r="64" spans="2:22" x14ac:dyDescent="0.25">
      <c r="B64" s="19">
        <f t="shared" si="12"/>
        <v>282500000</v>
      </c>
      <c r="C64" s="19">
        <f t="shared" si="12"/>
        <v>286250000</v>
      </c>
      <c r="E64" s="19">
        <f t="shared" si="14"/>
        <v>1800693.9661295116</v>
      </c>
      <c r="G64" s="19">
        <f t="shared" si="13"/>
        <v>0</v>
      </c>
      <c r="H64" s="19">
        <f t="shared" si="13"/>
        <v>1800693.9661295116</v>
      </c>
      <c r="I64" s="19">
        <f t="shared" si="13"/>
        <v>0</v>
      </c>
      <c r="J64" s="19">
        <f t="shared" si="13"/>
        <v>0</v>
      </c>
      <c r="K64" s="19">
        <f t="shared" si="13"/>
        <v>0</v>
      </c>
      <c r="L64" s="19">
        <f t="shared" si="13"/>
        <v>0</v>
      </c>
      <c r="M64" s="19">
        <f t="shared" si="13"/>
        <v>0</v>
      </c>
      <c r="O64" s="19">
        <f t="shared" si="16"/>
        <v>114628819.64963254</v>
      </c>
      <c r="P64" s="18"/>
      <c r="Q64" s="24">
        <f t="shared" si="17"/>
        <v>0.75721794902116668</v>
      </c>
      <c r="R64" s="24">
        <f t="shared" si="17"/>
        <v>0.52431456401301002</v>
      </c>
      <c r="S64" s="24">
        <f t="shared" si="18"/>
        <v>0.69738145855508049</v>
      </c>
      <c r="T64" s="24">
        <f t="shared" si="19"/>
        <v>6.0985355487187642E-2</v>
      </c>
      <c r="V64" s="24">
        <f t="shared" si="15"/>
        <v>6.5287740083943557E-3</v>
      </c>
    </row>
    <row r="65" spans="2:22" x14ac:dyDescent="0.25">
      <c r="B65" s="19">
        <f t="shared" si="12"/>
        <v>286250000</v>
      </c>
      <c r="C65" s="19">
        <f t="shared" si="12"/>
        <v>287250000</v>
      </c>
      <c r="E65" s="19">
        <f t="shared" si="14"/>
        <v>475373.31365609169</v>
      </c>
      <c r="G65" s="19">
        <f t="shared" si="13"/>
        <v>475373.31365609169</v>
      </c>
      <c r="H65" s="19">
        <f t="shared" si="13"/>
        <v>0</v>
      </c>
      <c r="I65" s="19">
        <f t="shared" si="13"/>
        <v>0</v>
      </c>
      <c r="J65" s="19">
        <f t="shared" si="13"/>
        <v>0</v>
      </c>
      <c r="K65" s="19">
        <f t="shared" si="13"/>
        <v>0</v>
      </c>
      <c r="L65" s="19">
        <f t="shared" si="13"/>
        <v>0</v>
      </c>
      <c r="M65" s="19">
        <f t="shared" si="13"/>
        <v>0</v>
      </c>
      <c r="O65" s="19">
        <f t="shared" si="16"/>
        <v>112828125.68350303</v>
      </c>
      <c r="P65" s="18"/>
      <c r="Q65" s="24">
        <f t="shared" si="17"/>
        <v>0.75068917501277233</v>
      </c>
      <c r="R65" s="24">
        <f t="shared" si="17"/>
        <v>0.51605866381558851</v>
      </c>
      <c r="S65" s="24">
        <f t="shared" si="18"/>
        <v>0.67666008044106829</v>
      </c>
      <c r="T65" s="24">
        <f t="shared" si="19"/>
        <v>4.0263977373175441E-2</v>
      </c>
      <c r="V65" s="24">
        <f t="shared" si="15"/>
        <v>1.7420389574478445E-3</v>
      </c>
    </row>
    <row r="66" spans="2:22" x14ac:dyDescent="0.25">
      <c r="B66" s="19">
        <f t="shared" si="12"/>
        <v>287250000</v>
      </c>
      <c r="C66" s="19" t="str">
        <f t="shared" si="12"/>
        <v>and above</v>
      </c>
      <c r="E66" s="19">
        <f t="shared" si="14"/>
        <v>112352752.36984694</v>
      </c>
      <c r="G66" s="19">
        <f t="shared" si="13"/>
        <v>5548284.0676467624</v>
      </c>
      <c r="H66" s="19">
        <f t="shared" si="13"/>
        <v>8322426.1014701435</v>
      </c>
      <c r="I66" s="19">
        <f t="shared" si="13"/>
        <v>11096568.135293525</v>
      </c>
      <c r="J66" s="19">
        <f t="shared" si="13"/>
        <v>12483639.152205216</v>
      </c>
      <c r="K66" s="19">
        <f t="shared" si="13"/>
        <v>13870710.169116905</v>
      </c>
      <c r="L66" s="19">
        <f t="shared" si="13"/>
        <v>16644852.202940287</v>
      </c>
      <c r="M66" s="19">
        <f t="shared" si="13"/>
        <v>44386272.541174099</v>
      </c>
      <c r="O66" s="19">
        <f t="shared" si="16"/>
        <v>112352752.36984694</v>
      </c>
      <c r="P66" s="18"/>
      <c r="Q66" s="24">
        <f t="shared" si="17"/>
        <v>0.74894713605532448</v>
      </c>
      <c r="R66" s="24">
        <f t="shared" si="17"/>
        <v>0.51387405707116063</v>
      </c>
      <c r="S66" s="24">
        <f t="shared" si="18"/>
        <v>0.67118021995228772</v>
      </c>
      <c r="T66" s="24">
        <f t="shared" si="19"/>
        <v>3.4784116884394867E-2</v>
      </c>
      <c r="V66" s="24">
        <f t="shared" si="15"/>
        <v>0.74894713605532448</v>
      </c>
    </row>
    <row r="67" spans="2:22" x14ac:dyDescent="0.25">
      <c r="B67" s="17"/>
      <c r="C67" s="17"/>
      <c r="E67" s="17"/>
      <c r="G67" s="8"/>
      <c r="H67" s="8"/>
      <c r="I67" s="8"/>
      <c r="J67" s="8"/>
      <c r="K67" s="8"/>
      <c r="L67" s="8"/>
      <c r="M67" s="8"/>
      <c r="O67" s="17"/>
      <c r="P67" s="18"/>
      <c r="Q67" s="17"/>
      <c r="R67" s="17"/>
      <c r="S67" s="17"/>
      <c r="T67" s="17"/>
      <c r="V67" s="17"/>
    </row>
    <row r="69" spans="2:22" x14ac:dyDescent="0.25">
      <c r="E69" s="14" t="s">
        <v>54</v>
      </c>
      <c r="G69" s="19">
        <f t="shared" ref="G69:M69" si="20">SUM(G60:G66)</f>
        <v>6023657.381302854</v>
      </c>
      <c r="H69" s="19">
        <f t="shared" si="20"/>
        <v>10123120.067599654</v>
      </c>
      <c r="I69" s="19">
        <f t="shared" si="20"/>
        <v>16039914.642901879</v>
      </c>
      <c r="J69" s="19">
        <f t="shared" si="20"/>
        <v>24386495.027591184</v>
      </c>
      <c r="K69" s="19">
        <f t="shared" si="20"/>
        <v>80992212.706940994</v>
      </c>
      <c r="L69" s="19">
        <f t="shared" si="20"/>
        <v>149999999.99999994</v>
      </c>
      <c r="M69" s="19">
        <f t="shared" si="20"/>
        <v>44386272.541174099</v>
      </c>
    </row>
    <row r="71" spans="2:22" x14ac:dyDescent="0.25">
      <c r="E71" s="14" t="s">
        <v>55</v>
      </c>
      <c r="G71" s="32">
        <f t="shared" ref="G71:M71" si="21">G69/G8</f>
        <v>60.236573813028542</v>
      </c>
      <c r="H71" s="32">
        <f t="shared" si="21"/>
        <v>67.487467117331022</v>
      </c>
      <c r="I71" s="32">
        <f t="shared" si="21"/>
        <v>80.1995732145094</v>
      </c>
      <c r="J71" s="32">
        <f t="shared" si="21"/>
        <v>108.38442234484971</v>
      </c>
      <c r="K71" s="32">
        <f t="shared" si="21"/>
        <v>323.96885082776396</v>
      </c>
      <c r="L71" s="32">
        <f t="shared" si="21"/>
        <v>499.99999999999983</v>
      </c>
      <c r="M71" s="32">
        <f t="shared" si="21"/>
        <v>55.482840676467625</v>
      </c>
    </row>
    <row r="73" spans="2:22" x14ac:dyDescent="0.25">
      <c r="E73" s="14" t="s">
        <v>78</v>
      </c>
      <c r="G73" s="33">
        <f>$C$9*SUMPRODUCT(G46:G52,$V$60:$V$66)*($C$7/G69)</f>
        <v>0.96037732169478429</v>
      </c>
      <c r="H73" s="33">
        <f t="shared" ref="H73:M73" si="22">$C$9*SUMPRODUCT(H46:H52,$V$60:$V$66)*($C$7/H69)</f>
        <v>0.91497469178115665</v>
      </c>
      <c r="I73" s="33">
        <f t="shared" si="22"/>
        <v>0.85056054446083007</v>
      </c>
      <c r="J73" s="33">
        <f t="shared" si="22"/>
        <v>0.74577696692625661</v>
      </c>
      <c r="K73" s="33">
        <f t="shared" si="22"/>
        <v>0.4316468302215406</v>
      </c>
      <c r="L73" s="33">
        <f t="shared" si="22"/>
        <v>0.15561962390416245</v>
      </c>
      <c r="M73" s="33">
        <f t="shared" si="22"/>
        <v>0.99576033597745073</v>
      </c>
    </row>
    <row r="78" spans="2:22" x14ac:dyDescent="0.25">
      <c r="K78" t="s">
        <v>91</v>
      </c>
      <c r="L78" s="19">
        <f>'2.a Capital Structure'!E7*'2.a Capital Structure'!C7</f>
        <v>150000000</v>
      </c>
    </row>
    <row r="79" spans="2:22" x14ac:dyDescent="0.25">
      <c r="K79" t="s">
        <v>92</v>
      </c>
      <c r="L79" s="32">
        <f>L69-L78</f>
        <v>0</v>
      </c>
    </row>
  </sheetData>
  <mergeCells count="4">
    <mergeCell ref="B15:C15"/>
    <mergeCell ref="B29:C29"/>
    <mergeCell ref="B43:C43"/>
    <mergeCell ref="B57:C5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767DB-6999-4037-8E55-C015E14DCAAC}">
  <dimension ref="A1:I6"/>
  <sheetViews>
    <sheetView workbookViewId="0">
      <selection activeCell="I15" sqref="I15"/>
    </sheetView>
  </sheetViews>
  <sheetFormatPr defaultRowHeight="15" x14ac:dyDescent="0.25"/>
  <cols>
    <col min="1" max="1" width="16.5703125" bestFit="1" customWidth="1"/>
    <col min="2" max="2" width="11.42578125" customWidth="1"/>
    <col min="3" max="3" width="11.85546875" bestFit="1" customWidth="1"/>
    <col min="4" max="4" width="8.5703125" bestFit="1" customWidth="1"/>
    <col min="5" max="5" width="31.140625" bestFit="1" customWidth="1"/>
    <col min="6" max="6" width="10.7109375" bestFit="1" customWidth="1"/>
    <col min="7" max="7" width="15.85546875" bestFit="1" customWidth="1"/>
    <col min="8" max="8" width="12.28515625" bestFit="1" customWidth="1"/>
    <col min="9" max="9" width="25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16</v>
      </c>
      <c r="C2" s="3">
        <v>100000</v>
      </c>
      <c r="D2">
        <v>1</v>
      </c>
      <c r="E2" s="1">
        <v>10</v>
      </c>
      <c r="F2" t="b">
        <v>1</v>
      </c>
      <c r="G2" s="5">
        <v>1</v>
      </c>
      <c r="H2" t="b">
        <v>1</v>
      </c>
      <c r="I2">
        <v>2</v>
      </c>
    </row>
    <row r="3" spans="1:9" x14ac:dyDescent="0.25">
      <c r="A3" t="s">
        <v>10</v>
      </c>
      <c r="B3" t="s">
        <v>16</v>
      </c>
      <c r="C3" s="3">
        <v>150000</v>
      </c>
      <c r="D3">
        <v>1</v>
      </c>
      <c r="E3" s="1">
        <v>25</v>
      </c>
      <c r="F3" t="b">
        <v>1</v>
      </c>
      <c r="G3" s="5">
        <v>1</v>
      </c>
      <c r="H3" t="b">
        <v>1</v>
      </c>
      <c r="I3">
        <v>2</v>
      </c>
    </row>
    <row r="4" spans="1:9" x14ac:dyDescent="0.25">
      <c r="A4" t="s">
        <v>11</v>
      </c>
      <c r="B4" t="s">
        <v>16</v>
      </c>
      <c r="C4" s="3">
        <v>200000</v>
      </c>
      <c r="D4">
        <v>1</v>
      </c>
      <c r="E4" s="1">
        <v>50</v>
      </c>
      <c r="F4" t="b">
        <v>1</v>
      </c>
      <c r="G4" s="5">
        <v>1</v>
      </c>
      <c r="H4" t="b">
        <v>1</v>
      </c>
      <c r="I4">
        <v>3</v>
      </c>
    </row>
    <row r="5" spans="1:9" x14ac:dyDescent="0.25">
      <c r="A5" t="s">
        <v>12</v>
      </c>
      <c r="B5" t="s">
        <v>16</v>
      </c>
      <c r="C5" s="3">
        <v>225000</v>
      </c>
      <c r="D5">
        <v>1</v>
      </c>
      <c r="E5" s="1">
        <v>100</v>
      </c>
      <c r="F5" t="b">
        <v>1</v>
      </c>
      <c r="G5" s="5">
        <v>1</v>
      </c>
      <c r="H5" t="b">
        <v>1</v>
      </c>
      <c r="I5">
        <v>3</v>
      </c>
    </row>
    <row r="6" spans="1:9" x14ac:dyDescent="0.25">
      <c r="A6" t="s">
        <v>15</v>
      </c>
      <c r="B6" t="s">
        <v>15</v>
      </c>
      <c r="C6" s="3">
        <v>800000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A620F-ABD8-4952-B1F2-336EDE629D62}">
  <dimension ref="B5:T88"/>
  <sheetViews>
    <sheetView showGridLines="0" topLeftCell="A55" zoomScale="85" zoomScaleNormal="85" workbookViewId="0">
      <selection activeCell="I86" sqref="I86"/>
    </sheetView>
  </sheetViews>
  <sheetFormatPr defaultRowHeight="15" x14ac:dyDescent="0.25"/>
  <cols>
    <col min="2" max="3" width="17.140625" customWidth="1"/>
    <col min="4" max="4" width="2.85546875" customWidth="1"/>
    <col min="5" max="5" width="17.140625" customWidth="1"/>
    <col min="6" max="6" width="2.85546875" customWidth="1"/>
    <col min="7" max="11" width="17.140625" customWidth="1"/>
    <col min="13" max="13" width="17.140625" customWidth="1"/>
  </cols>
  <sheetData>
    <row r="5" spans="2:12" x14ac:dyDescent="0.25">
      <c r="B5" s="9" t="s">
        <v>33</v>
      </c>
      <c r="C5" s="9"/>
      <c r="G5" s="9" t="s">
        <v>9</v>
      </c>
      <c r="H5" s="9" t="s">
        <v>10</v>
      </c>
      <c r="I5" s="9" t="s">
        <v>11</v>
      </c>
      <c r="J5" s="9" t="s">
        <v>12</v>
      </c>
      <c r="K5" s="9" t="s">
        <v>15</v>
      </c>
    </row>
    <row r="6" spans="2:12" x14ac:dyDescent="0.25">
      <c r="B6" s="6"/>
      <c r="C6" s="6"/>
      <c r="G6" s="6"/>
      <c r="H6" s="6"/>
      <c r="I6" s="6"/>
      <c r="J6" s="6"/>
      <c r="K6" s="6"/>
    </row>
    <row r="7" spans="2:12" x14ac:dyDescent="0.25">
      <c r="B7" t="s">
        <v>34</v>
      </c>
      <c r="C7" s="7">
        <v>750000000</v>
      </c>
      <c r="G7" s="11">
        <f>'3.a Capital Structure'!D2</f>
        <v>1</v>
      </c>
      <c r="H7" s="11">
        <f>'3.a Capital Structure'!D3</f>
        <v>1</v>
      </c>
      <c r="I7" s="11">
        <f>'3.a Capital Structure'!D4</f>
        <v>1</v>
      </c>
      <c r="J7" s="11">
        <f>'3.a Capital Structure'!D5</f>
        <v>1</v>
      </c>
      <c r="K7" s="11"/>
      <c r="L7" s="11" t="s">
        <v>37</v>
      </c>
    </row>
    <row r="8" spans="2:12" x14ac:dyDescent="0.25">
      <c r="B8" t="s">
        <v>47</v>
      </c>
      <c r="C8">
        <v>2</v>
      </c>
      <c r="G8" s="12">
        <f>'3.a Capital Structure'!C2</f>
        <v>100000</v>
      </c>
      <c r="H8" s="12">
        <f>'3.a Capital Structure'!C3</f>
        <v>150000</v>
      </c>
      <c r="I8" s="12">
        <f>'3.a Capital Structure'!C4</f>
        <v>200000</v>
      </c>
      <c r="J8" s="12">
        <f>'3.a Capital Structure'!C5</f>
        <v>225000</v>
      </c>
      <c r="K8" s="12">
        <f>'3.a Capital Structure'!C6</f>
        <v>800000</v>
      </c>
      <c r="L8" s="11" t="s">
        <v>38</v>
      </c>
    </row>
    <row r="9" spans="2:12" x14ac:dyDescent="0.25">
      <c r="B9" t="s">
        <v>35</v>
      </c>
      <c r="C9" s="23">
        <v>0.45</v>
      </c>
      <c r="G9" s="13">
        <f>'3.a Capital Structure'!E2</f>
        <v>10</v>
      </c>
      <c r="H9" s="13">
        <f>'3.a Capital Structure'!E3</f>
        <v>25</v>
      </c>
      <c r="I9" s="13">
        <f>'3.a Capital Structure'!E4</f>
        <v>50</v>
      </c>
      <c r="J9" s="13">
        <f>'3.a Capital Structure'!E5</f>
        <v>100</v>
      </c>
      <c r="K9" s="11"/>
      <c r="L9" s="11" t="s">
        <v>40</v>
      </c>
    </row>
    <row r="10" spans="2:12" x14ac:dyDescent="0.25">
      <c r="B10" t="s">
        <v>36</v>
      </c>
      <c r="C10" s="23">
        <v>0.04</v>
      </c>
      <c r="G10" s="13">
        <f>G8*G9</f>
        <v>1000000</v>
      </c>
      <c r="H10" s="13">
        <f t="shared" ref="H10:J10" si="0">H8*H9</f>
        <v>3750000</v>
      </c>
      <c r="I10" s="13">
        <f t="shared" si="0"/>
        <v>10000000</v>
      </c>
      <c r="J10" s="13">
        <f t="shared" si="0"/>
        <v>22500000</v>
      </c>
      <c r="K10" s="11"/>
      <c r="L10" s="11" t="s">
        <v>39</v>
      </c>
    </row>
    <row r="11" spans="2:12" x14ac:dyDescent="0.25">
      <c r="B11" s="8"/>
      <c r="C11" s="8"/>
      <c r="G11" s="12">
        <f>'3.a Capital Structure'!I2</f>
        <v>2</v>
      </c>
      <c r="H11" s="12">
        <f>'3.a Capital Structure'!I3</f>
        <v>2</v>
      </c>
      <c r="I11" s="12">
        <f>'3.a Capital Structure'!I4</f>
        <v>3</v>
      </c>
      <c r="J11" s="12">
        <f>'3.a Capital Structure'!I5</f>
        <v>3</v>
      </c>
      <c r="K11" s="11"/>
      <c r="L11" s="11" t="s">
        <v>77</v>
      </c>
    </row>
    <row r="12" spans="2:12" x14ac:dyDescent="0.25">
      <c r="C12" s="23"/>
      <c r="G12" s="12">
        <f>(G11-1)*G9</f>
        <v>10</v>
      </c>
      <c r="H12" s="12">
        <f t="shared" ref="H12:J12" si="1">(H11-1)*H9</f>
        <v>25</v>
      </c>
      <c r="I12" s="12">
        <f t="shared" si="1"/>
        <v>100</v>
      </c>
      <c r="J12" s="12">
        <f t="shared" si="1"/>
        <v>200</v>
      </c>
      <c r="K12" s="11"/>
      <c r="L12" s="11" t="s">
        <v>61</v>
      </c>
    </row>
    <row r="13" spans="2:12" x14ac:dyDescent="0.25">
      <c r="C13" s="23"/>
      <c r="G13" s="12">
        <f>G11*G9</f>
        <v>20</v>
      </c>
      <c r="H13" s="12">
        <f t="shared" ref="H13:J13" si="2">H11*H9</f>
        <v>50</v>
      </c>
      <c r="I13" s="12">
        <f t="shared" si="2"/>
        <v>150</v>
      </c>
      <c r="J13" s="12">
        <f t="shared" si="2"/>
        <v>300</v>
      </c>
      <c r="K13" s="11"/>
      <c r="L13" s="11" t="s">
        <v>62</v>
      </c>
    </row>
    <row r="14" spans="2:12" x14ac:dyDescent="0.25">
      <c r="G14" s="10"/>
      <c r="H14" s="10"/>
      <c r="I14" s="10"/>
      <c r="J14" s="10"/>
      <c r="K14" s="8"/>
    </row>
    <row r="18" spans="2:11" x14ac:dyDescent="0.25">
      <c r="B18" s="31" t="s">
        <v>41</v>
      </c>
      <c r="C18" s="31"/>
      <c r="E18" s="16"/>
      <c r="G18" s="16"/>
      <c r="H18" s="16"/>
      <c r="I18" s="16"/>
      <c r="J18" s="16"/>
      <c r="K18" s="16"/>
    </row>
    <row r="19" spans="2:11" x14ac:dyDescent="0.25">
      <c r="B19" s="17" t="s">
        <v>17</v>
      </c>
      <c r="C19" s="17" t="s">
        <v>18</v>
      </c>
      <c r="E19" s="17"/>
      <c r="G19" s="21" t="str">
        <f>G5</f>
        <v>Series A Preferred</v>
      </c>
      <c r="H19" s="21" t="str">
        <f>H5</f>
        <v>Series B Preferred</v>
      </c>
      <c r="I19" s="21" t="str">
        <f>I5</f>
        <v>Series C Preferred</v>
      </c>
      <c r="J19" s="21" t="str">
        <f>J5</f>
        <v>Series D Preferred</v>
      </c>
      <c r="K19" s="21" t="str">
        <f>K5</f>
        <v>Common</v>
      </c>
    </row>
    <row r="20" spans="2:11" x14ac:dyDescent="0.25">
      <c r="B20" s="18"/>
      <c r="C20" s="18"/>
      <c r="E20" s="18"/>
      <c r="G20" s="18"/>
      <c r="H20" s="18"/>
      <c r="I20" s="18"/>
      <c r="J20" s="18"/>
      <c r="K20" s="18"/>
    </row>
    <row r="21" spans="2:11" x14ac:dyDescent="0.25">
      <c r="B21" s="19">
        <v>0</v>
      </c>
      <c r="C21" s="19">
        <f>B21+SUM(G21:J21)</f>
        <v>37250000</v>
      </c>
      <c r="E21" s="18"/>
      <c r="G21" s="19">
        <f>G10</f>
        <v>1000000</v>
      </c>
      <c r="H21" s="19">
        <f t="shared" ref="H21:J21" si="3">H10</f>
        <v>3750000</v>
      </c>
      <c r="I21" s="19">
        <f t="shared" si="3"/>
        <v>10000000</v>
      </c>
      <c r="J21" s="19">
        <f t="shared" si="3"/>
        <v>22500000</v>
      </c>
      <c r="K21" s="18"/>
    </row>
    <row r="22" spans="2:11" x14ac:dyDescent="0.25">
      <c r="B22" s="19">
        <f>C21</f>
        <v>37250000</v>
      </c>
      <c r="C22" s="19">
        <f t="shared" ref="C22:C26" si="4">B22+(E22-E21)*SUM(G22:K22)</f>
        <v>52000000</v>
      </c>
      <c r="E22" s="19">
        <f>G12</f>
        <v>10</v>
      </c>
      <c r="G22" s="20">
        <f t="shared" ref="G22:K30" si="5">G$8</f>
        <v>100000</v>
      </c>
      <c r="H22" s="20">
        <f t="shared" si="5"/>
        <v>150000</v>
      </c>
      <c r="I22" s="20">
        <f t="shared" si="5"/>
        <v>200000</v>
      </c>
      <c r="J22" s="20">
        <f t="shared" si="5"/>
        <v>225000</v>
      </c>
      <c r="K22" s="20">
        <f t="shared" si="5"/>
        <v>800000</v>
      </c>
    </row>
    <row r="23" spans="2:11" x14ac:dyDescent="0.25">
      <c r="B23" s="19">
        <f t="shared" ref="B23:B30" si="6">C22</f>
        <v>52000000</v>
      </c>
      <c r="C23" s="19">
        <f t="shared" si="4"/>
        <v>65750000</v>
      </c>
      <c r="E23" s="19">
        <f>G13</f>
        <v>20</v>
      </c>
      <c r="G23" s="18"/>
      <c r="H23" s="20">
        <f t="shared" si="5"/>
        <v>150000</v>
      </c>
      <c r="I23" s="20">
        <f t="shared" si="5"/>
        <v>200000</v>
      </c>
      <c r="J23" s="20">
        <f t="shared" si="5"/>
        <v>225000</v>
      </c>
      <c r="K23" s="20">
        <f t="shared" si="5"/>
        <v>800000</v>
      </c>
    </row>
    <row r="24" spans="2:11" x14ac:dyDescent="0.25">
      <c r="B24" s="19">
        <f t="shared" si="6"/>
        <v>65750000</v>
      </c>
      <c r="C24" s="19">
        <f t="shared" si="4"/>
        <v>73125000</v>
      </c>
      <c r="E24" s="19">
        <f>H12</f>
        <v>25</v>
      </c>
      <c r="G24" s="20">
        <f t="shared" si="5"/>
        <v>100000</v>
      </c>
      <c r="H24" s="20">
        <f t="shared" si="5"/>
        <v>150000</v>
      </c>
      <c r="I24" s="20">
        <f t="shared" si="5"/>
        <v>200000</v>
      </c>
      <c r="J24" s="20">
        <f t="shared" si="5"/>
        <v>225000</v>
      </c>
      <c r="K24" s="20">
        <f t="shared" si="5"/>
        <v>800000</v>
      </c>
    </row>
    <row r="25" spans="2:11" x14ac:dyDescent="0.25">
      <c r="B25" s="19">
        <f t="shared" si="6"/>
        <v>73125000</v>
      </c>
      <c r="C25" s="19">
        <f t="shared" si="4"/>
        <v>106250000</v>
      </c>
      <c r="E25" s="19">
        <f>H13</f>
        <v>50</v>
      </c>
      <c r="G25" s="20">
        <f t="shared" si="5"/>
        <v>100000</v>
      </c>
      <c r="H25" s="20"/>
      <c r="I25" s="20">
        <f t="shared" si="5"/>
        <v>200000</v>
      </c>
      <c r="J25" s="20">
        <f t="shared" si="5"/>
        <v>225000</v>
      </c>
      <c r="K25" s="20">
        <f t="shared" si="5"/>
        <v>800000</v>
      </c>
    </row>
    <row r="26" spans="2:11" x14ac:dyDescent="0.25">
      <c r="B26" s="19">
        <f t="shared" si="6"/>
        <v>106250000</v>
      </c>
      <c r="C26" s="19">
        <f t="shared" si="4"/>
        <v>180000000</v>
      </c>
      <c r="E26" s="19">
        <f>I12</f>
        <v>100</v>
      </c>
      <c r="G26" s="20">
        <f t="shared" si="5"/>
        <v>100000</v>
      </c>
      <c r="H26" s="20">
        <f t="shared" si="5"/>
        <v>150000</v>
      </c>
      <c r="I26" s="20">
        <f t="shared" si="5"/>
        <v>200000</v>
      </c>
      <c r="J26" s="20">
        <f t="shared" si="5"/>
        <v>225000</v>
      </c>
      <c r="K26" s="20">
        <f t="shared" si="5"/>
        <v>800000</v>
      </c>
    </row>
    <row r="27" spans="2:11" x14ac:dyDescent="0.25">
      <c r="B27" s="19">
        <f t="shared" si="6"/>
        <v>180000000</v>
      </c>
      <c r="C27" s="19">
        <f>B27+(E27-E26)*SUM(G27:K27)</f>
        <v>243750000</v>
      </c>
      <c r="E27" s="19">
        <f>I13</f>
        <v>150</v>
      </c>
      <c r="G27" s="20">
        <f t="shared" si="5"/>
        <v>100000</v>
      </c>
      <c r="H27" s="20">
        <f t="shared" si="5"/>
        <v>150000</v>
      </c>
      <c r="I27" s="20"/>
      <c r="J27" s="20">
        <f t="shared" si="5"/>
        <v>225000</v>
      </c>
      <c r="K27" s="20">
        <f t="shared" si="5"/>
        <v>800000</v>
      </c>
    </row>
    <row r="28" spans="2:11" x14ac:dyDescent="0.25">
      <c r="B28" s="19">
        <f t="shared" si="6"/>
        <v>243750000</v>
      </c>
      <c r="C28" s="19">
        <f t="shared" ref="C28:C29" si="7">B28+(E28-E27)*SUM(G28:K28)</f>
        <v>317500000</v>
      </c>
      <c r="E28" s="19">
        <f>J12</f>
        <v>200</v>
      </c>
      <c r="G28" s="20">
        <f t="shared" si="5"/>
        <v>100000</v>
      </c>
      <c r="H28" s="20">
        <f t="shared" si="5"/>
        <v>150000</v>
      </c>
      <c r="I28" s="20">
        <f t="shared" si="5"/>
        <v>200000</v>
      </c>
      <c r="J28" s="20">
        <f t="shared" si="5"/>
        <v>225000</v>
      </c>
      <c r="K28" s="20">
        <f t="shared" si="5"/>
        <v>800000</v>
      </c>
    </row>
    <row r="29" spans="2:11" x14ac:dyDescent="0.25">
      <c r="B29" s="19">
        <f t="shared" si="6"/>
        <v>317500000</v>
      </c>
      <c r="C29" s="19">
        <f t="shared" si="7"/>
        <v>442500000</v>
      </c>
      <c r="E29" s="19">
        <f>J13</f>
        <v>300</v>
      </c>
      <c r="G29" s="20">
        <f t="shared" si="5"/>
        <v>100000</v>
      </c>
      <c r="H29" s="20">
        <f t="shared" si="5"/>
        <v>150000</v>
      </c>
      <c r="I29" s="20">
        <f t="shared" si="5"/>
        <v>200000</v>
      </c>
      <c r="J29" s="20"/>
      <c r="K29" s="20">
        <f t="shared" si="5"/>
        <v>800000</v>
      </c>
    </row>
    <row r="30" spans="2:11" x14ac:dyDescent="0.25">
      <c r="B30" s="19">
        <f t="shared" si="6"/>
        <v>442500000</v>
      </c>
      <c r="C30" s="19" t="s">
        <v>19</v>
      </c>
      <c r="E30" s="19"/>
      <c r="G30" s="20">
        <f t="shared" si="5"/>
        <v>100000</v>
      </c>
      <c r="H30" s="20">
        <f t="shared" si="5"/>
        <v>150000</v>
      </c>
      <c r="I30" s="20">
        <f t="shared" si="5"/>
        <v>200000</v>
      </c>
      <c r="J30" s="20">
        <f t="shared" si="5"/>
        <v>225000</v>
      </c>
      <c r="K30" s="20">
        <f t="shared" si="5"/>
        <v>800000</v>
      </c>
    </row>
    <row r="31" spans="2:11" x14ac:dyDescent="0.25">
      <c r="B31" s="17"/>
      <c r="C31" s="17"/>
      <c r="E31" s="17"/>
      <c r="G31" s="17"/>
      <c r="H31" s="17"/>
      <c r="I31" s="17"/>
      <c r="J31" s="17"/>
      <c r="K31" s="17"/>
    </row>
    <row r="35" spans="2:11" x14ac:dyDescent="0.25">
      <c r="B35" s="31" t="s">
        <v>41</v>
      </c>
      <c r="C35" s="31"/>
      <c r="D35" s="18"/>
      <c r="E35" s="15" t="s">
        <v>42</v>
      </c>
      <c r="G35" s="6"/>
      <c r="H35" s="6"/>
      <c r="I35" s="6"/>
      <c r="J35" s="6"/>
      <c r="K35" s="6"/>
    </row>
    <row r="36" spans="2:11" x14ac:dyDescent="0.25">
      <c r="B36" s="17" t="str">
        <f>B19</f>
        <v xml:space="preserve">From </v>
      </c>
      <c r="C36" s="17" t="str">
        <f>C19</f>
        <v>To</v>
      </c>
      <c r="D36" s="18"/>
      <c r="E36" s="21" t="s">
        <v>43</v>
      </c>
      <c r="G36" s="8"/>
      <c r="H36" s="8"/>
      <c r="I36" s="8"/>
      <c r="J36" s="8"/>
      <c r="K36" s="8"/>
    </row>
    <row r="37" spans="2:11" x14ac:dyDescent="0.25">
      <c r="B37" s="18"/>
      <c r="C37" s="18"/>
      <c r="D37" s="18"/>
      <c r="E37" s="18"/>
    </row>
    <row r="38" spans="2:11" x14ac:dyDescent="0.25">
      <c r="B38" s="18">
        <f t="shared" ref="B38:C47" si="8">B21</f>
        <v>0</v>
      </c>
      <c r="C38" s="19">
        <f t="shared" si="8"/>
        <v>37250000</v>
      </c>
      <c r="D38" s="18"/>
      <c r="E38" s="19">
        <f>C38-B38</f>
        <v>37250000</v>
      </c>
      <c r="G38" t="s">
        <v>63</v>
      </c>
    </row>
    <row r="39" spans="2:11" x14ac:dyDescent="0.25">
      <c r="B39" s="19">
        <f t="shared" si="8"/>
        <v>37250000</v>
      </c>
      <c r="C39" s="19">
        <f t="shared" si="8"/>
        <v>52000000</v>
      </c>
      <c r="D39" s="18"/>
      <c r="E39" s="19">
        <f t="shared" ref="E39:E46" si="9">C39-B39</f>
        <v>14750000</v>
      </c>
      <c r="G39" t="s">
        <v>64</v>
      </c>
    </row>
    <row r="40" spans="2:11" x14ac:dyDescent="0.25">
      <c r="B40" s="19">
        <f t="shared" si="8"/>
        <v>52000000</v>
      </c>
      <c r="C40" s="19">
        <f t="shared" si="8"/>
        <v>65750000</v>
      </c>
      <c r="D40" s="18"/>
      <c r="E40" s="19">
        <f t="shared" si="9"/>
        <v>13750000</v>
      </c>
      <c r="G40" t="s">
        <v>65</v>
      </c>
      <c r="J40" s="7"/>
    </row>
    <row r="41" spans="2:11" x14ac:dyDescent="0.25">
      <c r="B41" s="19">
        <f t="shared" si="8"/>
        <v>65750000</v>
      </c>
      <c r="C41" s="19">
        <f t="shared" si="8"/>
        <v>73125000</v>
      </c>
      <c r="D41" s="18"/>
      <c r="E41" s="19">
        <f t="shared" si="9"/>
        <v>7375000</v>
      </c>
      <c r="G41" t="s">
        <v>66</v>
      </c>
      <c r="I41" s="7"/>
    </row>
    <row r="42" spans="2:11" x14ac:dyDescent="0.25">
      <c r="B42" s="19">
        <f t="shared" si="8"/>
        <v>73125000</v>
      </c>
      <c r="C42" s="19">
        <f t="shared" si="8"/>
        <v>106250000</v>
      </c>
      <c r="D42" s="18"/>
      <c r="E42" s="19">
        <f t="shared" si="9"/>
        <v>33125000</v>
      </c>
      <c r="G42" t="s">
        <v>67</v>
      </c>
      <c r="H42" s="7"/>
    </row>
    <row r="43" spans="2:11" x14ac:dyDescent="0.25">
      <c r="B43" s="19">
        <f t="shared" si="8"/>
        <v>106250000</v>
      </c>
      <c r="C43" s="19">
        <f t="shared" si="8"/>
        <v>180000000</v>
      </c>
      <c r="D43" s="18"/>
      <c r="E43" s="19">
        <f t="shared" si="9"/>
        <v>73750000</v>
      </c>
      <c r="G43" s="7" t="s">
        <v>68</v>
      </c>
    </row>
    <row r="44" spans="2:11" x14ac:dyDescent="0.25">
      <c r="B44" s="19">
        <f t="shared" si="8"/>
        <v>180000000</v>
      </c>
      <c r="C44" s="19">
        <f t="shared" si="8"/>
        <v>243750000</v>
      </c>
      <c r="D44" s="18"/>
      <c r="E44" s="19">
        <f t="shared" si="9"/>
        <v>63750000</v>
      </c>
      <c r="G44" t="s">
        <v>69</v>
      </c>
      <c r="K44" s="3"/>
    </row>
    <row r="45" spans="2:11" x14ac:dyDescent="0.25">
      <c r="B45" s="19">
        <f t="shared" si="8"/>
        <v>243750000</v>
      </c>
      <c r="C45" s="19">
        <f t="shared" si="8"/>
        <v>317500000</v>
      </c>
      <c r="D45" s="18"/>
      <c r="E45" s="19">
        <f t="shared" si="9"/>
        <v>73750000</v>
      </c>
      <c r="G45" s="3" t="s">
        <v>70</v>
      </c>
      <c r="K45" s="3"/>
    </row>
    <row r="46" spans="2:11" x14ac:dyDescent="0.25">
      <c r="B46" s="19">
        <f t="shared" si="8"/>
        <v>317500000</v>
      </c>
      <c r="C46" s="19">
        <f t="shared" si="8"/>
        <v>442500000</v>
      </c>
      <c r="D46" s="18"/>
      <c r="E46" s="19">
        <f t="shared" si="9"/>
        <v>125000000</v>
      </c>
      <c r="G46" s="3" t="s">
        <v>71</v>
      </c>
      <c r="H46" s="3"/>
      <c r="K46" s="3"/>
    </row>
    <row r="47" spans="2:11" x14ac:dyDescent="0.25">
      <c r="B47" s="19">
        <f t="shared" si="8"/>
        <v>442500000</v>
      </c>
      <c r="C47" s="19" t="str">
        <f t="shared" si="8"/>
        <v>and above</v>
      </c>
      <c r="D47" s="18"/>
      <c r="E47" s="19"/>
      <c r="G47" s="3" t="s">
        <v>73</v>
      </c>
      <c r="H47" s="3"/>
      <c r="K47" s="3"/>
    </row>
    <row r="48" spans="2:11" x14ac:dyDescent="0.25">
      <c r="B48" s="17"/>
      <c r="C48" s="17"/>
      <c r="D48" s="18"/>
      <c r="E48" s="17"/>
      <c r="G48" s="8"/>
      <c r="H48" s="8"/>
      <c r="I48" s="8"/>
      <c r="J48" s="8"/>
      <c r="K48" s="8"/>
    </row>
    <row r="52" spans="2:11" x14ac:dyDescent="0.25">
      <c r="B52" s="31" t="s">
        <v>41</v>
      </c>
      <c r="C52" s="31"/>
      <c r="E52" s="15" t="s">
        <v>44</v>
      </c>
      <c r="G52" s="16"/>
      <c r="H52" s="16"/>
      <c r="I52" s="16"/>
      <c r="J52" s="16"/>
      <c r="K52" s="16"/>
    </row>
    <row r="53" spans="2:11" x14ac:dyDescent="0.25">
      <c r="B53" s="17" t="str">
        <f>B36</f>
        <v xml:space="preserve">From </v>
      </c>
      <c r="C53" s="17" t="str">
        <f>C36</f>
        <v>To</v>
      </c>
      <c r="E53" s="21" t="s">
        <v>45</v>
      </c>
      <c r="G53" s="21" t="str">
        <f>G19</f>
        <v>Series A Preferred</v>
      </c>
      <c r="H53" s="21" t="str">
        <f>H19</f>
        <v>Series B Preferred</v>
      </c>
      <c r="I53" s="21" t="str">
        <f>I19</f>
        <v>Series C Preferred</v>
      </c>
      <c r="J53" s="21" t="str">
        <f>J19</f>
        <v>Series D Preferred</v>
      </c>
      <c r="K53" s="21" t="str">
        <f>K19</f>
        <v>Common</v>
      </c>
    </row>
    <row r="54" spans="2:11" x14ac:dyDescent="0.25">
      <c r="B54" s="18"/>
      <c r="C54" s="18"/>
      <c r="E54" s="18"/>
      <c r="G54" s="18"/>
      <c r="H54" s="18"/>
      <c r="I54" s="18"/>
      <c r="J54" s="18"/>
      <c r="K54" s="18"/>
    </row>
    <row r="55" spans="2:11" x14ac:dyDescent="0.25">
      <c r="B55" s="18">
        <f t="shared" ref="B55:C64" si="10">B38</f>
        <v>0</v>
      </c>
      <c r="C55" s="19">
        <f t="shared" si="10"/>
        <v>37250000</v>
      </c>
      <c r="E55" s="22">
        <f t="shared" ref="E55:E64" si="11">SUM(G55:K55)</f>
        <v>1</v>
      </c>
      <c r="G55" s="22">
        <f t="shared" ref="G55:K64" si="12">G21/SUM($G21:$K21)</f>
        <v>2.6845637583892617E-2</v>
      </c>
      <c r="H55" s="22">
        <f t="shared" si="12"/>
        <v>0.10067114093959731</v>
      </c>
      <c r="I55" s="22">
        <f t="shared" si="12"/>
        <v>0.26845637583892618</v>
      </c>
      <c r="J55" s="22">
        <f t="shared" si="12"/>
        <v>0.60402684563758391</v>
      </c>
      <c r="K55" s="22">
        <f t="shared" si="12"/>
        <v>0</v>
      </c>
    </row>
    <row r="56" spans="2:11" x14ac:dyDescent="0.25">
      <c r="B56" s="19">
        <f t="shared" si="10"/>
        <v>37250000</v>
      </c>
      <c r="C56" s="19">
        <f t="shared" si="10"/>
        <v>52000000</v>
      </c>
      <c r="E56" s="22">
        <f t="shared" si="11"/>
        <v>1</v>
      </c>
      <c r="G56" s="22">
        <f t="shared" si="12"/>
        <v>6.7796610169491525E-2</v>
      </c>
      <c r="H56" s="22">
        <f t="shared" si="12"/>
        <v>0.10169491525423729</v>
      </c>
      <c r="I56" s="22">
        <f t="shared" si="12"/>
        <v>0.13559322033898305</v>
      </c>
      <c r="J56" s="22">
        <f t="shared" si="12"/>
        <v>0.15254237288135594</v>
      </c>
      <c r="K56" s="22">
        <f t="shared" si="12"/>
        <v>0.5423728813559322</v>
      </c>
    </row>
    <row r="57" spans="2:11" x14ac:dyDescent="0.25">
      <c r="B57" s="19">
        <f t="shared" si="10"/>
        <v>52000000</v>
      </c>
      <c r="C57" s="19">
        <f t="shared" si="10"/>
        <v>65750000</v>
      </c>
      <c r="E57" s="22">
        <f t="shared" si="11"/>
        <v>1</v>
      </c>
      <c r="G57" s="22">
        <f t="shared" si="12"/>
        <v>0</v>
      </c>
      <c r="H57" s="22">
        <f t="shared" si="12"/>
        <v>0.10909090909090909</v>
      </c>
      <c r="I57" s="22">
        <f t="shared" si="12"/>
        <v>0.14545454545454545</v>
      </c>
      <c r="J57" s="22">
        <f t="shared" si="12"/>
        <v>0.16363636363636364</v>
      </c>
      <c r="K57" s="22">
        <f t="shared" si="12"/>
        <v>0.58181818181818179</v>
      </c>
    </row>
    <row r="58" spans="2:11" x14ac:dyDescent="0.25">
      <c r="B58" s="19">
        <f t="shared" si="10"/>
        <v>65750000</v>
      </c>
      <c r="C58" s="19">
        <f t="shared" si="10"/>
        <v>73125000</v>
      </c>
      <c r="E58" s="22">
        <f t="shared" si="11"/>
        <v>1</v>
      </c>
      <c r="G58" s="22">
        <f t="shared" si="12"/>
        <v>6.7796610169491525E-2</v>
      </c>
      <c r="H58" s="22">
        <f t="shared" si="12"/>
        <v>0.10169491525423729</v>
      </c>
      <c r="I58" s="22">
        <f t="shared" si="12"/>
        <v>0.13559322033898305</v>
      </c>
      <c r="J58" s="22">
        <f t="shared" si="12"/>
        <v>0.15254237288135594</v>
      </c>
      <c r="K58" s="22">
        <f t="shared" si="12"/>
        <v>0.5423728813559322</v>
      </c>
    </row>
    <row r="59" spans="2:11" x14ac:dyDescent="0.25">
      <c r="B59" s="19">
        <f t="shared" si="10"/>
        <v>73125000</v>
      </c>
      <c r="C59" s="19">
        <f t="shared" si="10"/>
        <v>106250000</v>
      </c>
      <c r="E59" s="22">
        <f t="shared" si="11"/>
        <v>1</v>
      </c>
      <c r="G59" s="22">
        <f t="shared" si="12"/>
        <v>7.5471698113207544E-2</v>
      </c>
      <c r="H59" s="22">
        <f t="shared" si="12"/>
        <v>0</v>
      </c>
      <c r="I59" s="22">
        <f t="shared" si="12"/>
        <v>0.15094339622641509</v>
      </c>
      <c r="J59" s="22">
        <f t="shared" si="12"/>
        <v>0.16981132075471697</v>
      </c>
      <c r="K59" s="22">
        <f t="shared" si="12"/>
        <v>0.60377358490566035</v>
      </c>
    </row>
    <row r="60" spans="2:11" x14ac:dyDescent="0.25">
      <c r="B60" s="19">
        <f t="shared" si="10"/>
        <v>106250000</v>
      </c>
      <c r="C60" s="19">
        <f t="shared" si="10"/>
        <v>180000000</v>
      </c>
      <c r="E60" s="22">
        <f t="shared" si="11"/>
        <v>1</v>
      </c>
      <c r="G60" s="22">
        <f t="shared" si="12"/>
        <v>6.7796610169491525E-2</v>
      </c>
      <c r="H60" s="22">
        <f t="shared" si="12"/>
        <v>0.10169491525423729</v>
      </c>
      <c r="I60" s="22">
        <f t="shared" si="12"/>
        <v>0.13559322033898305</v>
      </c>
      <c r="J60" s="22">
        <f t="shared" si="12"/>
        <v>0.15254237288135594</v>
      </c>
      <c r="K60" s="22">
        <f t="shared" si="12"/>
        <v>0.5423728813559322</v>
      </c>
    </row>
    <row r="61" spans="2:11" x14ac:dyDescent="0.25">
      <c r="B61" s="19">
        <f t="shared" si="10"/>
        <v>180000000</v>
      </c>
      <c r="C61" s="19">
        <f t="shared" si="10"/>
        <v>243750000</v>
      </c>
      <c r="E61" s="22">
        <f t="shared" si="11"/>
        <v>1</v>
      </c>
      <c r="G61" s="22">
        <f t="shared" si="12"/>
        <v>7.8431372549019607E-2</v>
      </c>
      <c r="H61" s="22">
        <f t="shared" si="12"/>
        <v>0.11764705882352941</v>
      </c>
      <c r="I61" s="22">
        <f t="shared" si="12"/>
        <v>0</v>
      </c>
      <c r="J61" s="22">
        <f t="shared" si="12"/>
        <v>0.17647058823529413</v>
      </c>
      <c r="K61" s="22">
        <f t="shared" si="12"/>
        <v>0.62745098039215685</v>
      </c>
    </row>
    <row r="62" spans="2:11" x14ac:dyDescent="0.25">
      <c r="B62" s="19">
        <f t="shared" si="10"/>
        <v>243750000</v>
      </c>
      <c r="C62" s="19">
        <f t="shared" si="10"/>
        <v>317500000</v>
      </c>
      <c r="E62" s="22">
        <f t="shared" si="11"/>
        <v>1</v>
      </c>
      <c r="G62" s="22">
        <f t="shared" si="12"/>
        <v>6.7796610169491525E-2</v>
      </c>
      <c r="H62" s="22">
        <f t="shared" si="12"/>
        <v>0.10169491525423729</v>
      </c>
      <c r="I62" s="22">
        <f t="shared" si="12"/>
        <v>0.13559322033898305</v>
      </c>
      <c r="J62" s="22">
        <f t="shared" si="12"/>
        <v>0.15254237288135594</v>
      </c>
      <c r="K62" s="22">
        <f t="shared" si="12"/>
        <v>0.5423728813559322</v>
      </c>
    </row>
    <row r="63" spans="2:11" x14ac:dyDescent="0.25">
      <c r="B63" s="19">
        <f t="shared" si="10"/>
        <v>317500000</v>
      </c>
      <c r="C63" s="19">
        <f t="shared" si="10"/>
        <v>442500000</v>
      </c>
      <c r="E63" s="22">
        <f t="shared" si="11"/>
        <v>1</v>
      </c>
      <c r="G63" s="22">
        <f t="shared" si="12"/>
        <v>0.08</v>
      </c>
      <c r="H63" s="22">
        <f t="shared" si="12"/>
        <v>0.12</v>
      </c>
      <c r="I63" s="22">
        <f t="shared" si="12"/>
        <v>0.16</v>
      </c>
      <c r="J63" s="22">
        <f t="shared" si="12"/>
        <v>0</v>
      </c>
      <c r="K63" s="22">
        <f t="shared" si="12"/>
        <v>0.64</v>
      </c>
    </row>
    <row r="64" spans="2:11" x14ac:dyDescent="0.25">
      <c r="B64" s="19">
        <f t="shared" si="10"/>
        <v>442500000</v>
      </c>
      <c r="C64" s="19" t="str">
        <f t="shared" si="10"/>
        <v>and above</v>
      </c>
      <c r="E64" s="22">
        <f t="shared" si="11"/>
        <v>1</v>
      </c>
      <c r="G64" s="22">
        <f t="shared" si="12"/>
        <v>6.7796610169491525E-2</v>
      </c>
      <c r="H64" s="22">
        <f t="shared" si="12"/>
        <v>0.10169491525423729</v>
      </c>
      <c r="I64" s="22">
        <f t="shared" si="12"/>
        <v>0.13559322033898305</v>
      </c>
      <c r="J64" s="22">
        <f t="shared" si="12"/>
        <v>0.15254237288135594</v>
      </c>
      <c r="K64" s="22">
        <f t="shared" si="12"/>
        <v>0.5423728813559322</v>
      </c>
    </row>
    <row r="65" spans="2:20" x14ac:dyDescent="0.25">
      <c r="B65" s="17"/>
      <c r="C65" s="17"/>
      <c r="E65" s="17"/>
      <c r="G65" s="17"/>
      <c r="H65" s="17"/>
      <c r="I65" s="17"/>
      <c r="J65" s="17"/>
      <c r="K65" s="17"/>
    </row>
    <row r="66" spans="2:20" x14ac:dyDescent="0.25">
      <c r="G66" s="18"/>
      <c r="H66" s="18"/>
      <c r="I66" s="18"/>
      <c r="J66" s="18"/>
      <c r="K66" s="18"/>
    </row>
    <row r="67" spans="2:20" x14ac:dyDescent="0.25">
      <c r="G67" s="18"/>
      <c r="H67" s="18"/>
      <c r="I67" s="18"/>
      <c r="J67" s="18"/>
      <c r="K67" s="18"/>
    </row>
    <row r="68" spans="2:20" x14ac:dyDescent="0.25">
      <c r="G68" s="18"/>
      <c r="H68" s="18"/>
      <c r="I68" s="18"/>
      <c r="J68" s="18"/>
      <c r="K68" s="18"/>
    </row>
    <row r="69" spans="2:20" x14ac:dyDescent="0.25">
      <c r="B69" s="31" t="str">
        <f>B52</f>
        <v>Breakpoints</v>
      </c>
      <c r="C69" s="31">
        <f>C52</f>
        <v>0</v>
      </c>
      <c r="E69" s="15" t="s">
        <v>46</v>
      </c>
      <c r="G69" s="16"/>
      <c r="H69" s="16"/>
      <c r="I69" s="16"/>
      <c r="J69" s="16"/>
      <c r="K69" s="16"/>
      <c r="M69" s="16" t="s">
        <v>52</v>
      </c>
      <c r="N69" s="18"/>
      <c r="O69" s="16"/>
      <c r="P69" s="16"/>
      <c r="Q69" s="16"/>
      <c r="R69" s="16"/>
      <c r="T69" s="16" t="s">
        <v>42</v>
      </c>
    </row>
    <row r="70" spans="2:20" x14ac:dyDescent="0.25">
      <c r="B70" s="17" t="str">
        <f>B53</f>
        <v xml:space="preserve">From </v>
      </c>
      <c r="C70" s="17" t="str">
        <f>C53</f>
        <v>To</v>
      </c>
      <c r="E70" s="17"/>
      <c r="G70" s="21" t="str">
        <f>G5</f>
        <v>Series A Preferred</v>
      </c>
      <c r="H70" s="21" t="str">
        <f>H5</f>
        <v>Series B Preferred</v>
      </c>
      <c r="I70" s="21" t="str">
        <f>I5</f>
        <v>Series C Preferred</v>
      </c>
      <c r="J70" s="21" t="str">
        <f>J5</f>
        <v>Series D Preferred</v>
      </c>
      <c r="K70" s="21" t="str">
        <f>K5</f>
        <v>Common</v>
      </c>
      <c r="M70" s="17" t="s">
        <v>53</v>
      </c>
      <c r="N70" s="18"/>
      <c r="O70" s="17" t="s">
        <v>48</v>
      </c>
      <c r="P70" s="17" t="s">
        <v>49</v>
      </c>
      <c r="Q70" s="17" t="s">
        <v>50</v>
      </c>
      <c r="R70" s="17" t="s">
        <v>51</v>
      </c>
      <c r="T70" s="17" t="s">
        <v>48</v>
      </c>
    </row>
    <row r="71" spans="2:20" x14ac:dyDescent="0.25">
      <c r="B71" s="18"/>
      <c r="C71" s="18"/>
      <c r="E71" s="16"/>
      <c r="G71" s="6"/>
      <c r="H71" s="6"/>
      <c r="I71" s="6"/>
      <c r="J71" s="6"/>
      <c r="K71" s="6"/>
      <c r="M71" s="16"/>
      <c r="N71" s="18"/>
      <c r="O71" s="16"/>
      <c r="P71" s="16"/>
      <c r="Q71" s="16"/>
      <c r="R71" s="16"/>
      <c r="T71" s="16"/>
    </row>
    <row r="72" spans="2:20" x14ac:dyDescent="0.25">
      <c r="B72" s="18">
        <f t="shared" ref="B72:C77" si="13">B55</f>
        <v>0</v>
      </c>
      <c r="C72" s="19">
        <f t="shared" si="13"/>
        <v>37250000</v>
      </c>
      <c r="E72" s="19">
        <f>M72-M73</f>
        <v>34386071.982729435</v>
      </c>
      <c r="G72" s="19">
        <f t="shared" ref="G72:K77" si="14">$E72*G55</f>
        <v>923116.02638199821</v>
      </c>
      <c r="H72" s="19">
        <f t="shared" si="14"/>
        <v>3461685.098932493</v>
      </c>
      <c r="I72" s="19">
        <f t="shared" si="14"/>
        <v>9231160.2638199832</v>
      </c>
      <c r="J72" s="19">
        <f t="shared" si="14"/>
        <v>20770110.593594961</v>
      </c>
      <c r="K72" s="19">
        <f t="shared" si="14"/>
        <v>0</v>
      </c>
      <c r="M72" s="19">
        <f>C7</f>
        <v>750000000</v>
      </c>
      <c r="N72" s="18"/>
      <c r="O72" s="18">
        <v>1</v>
      </c>
      <c r="P72" s="18"/>
      <c r="Q72" s="18"/>
      <c r="R72" s="18"/>
      <c r="T72" s="24">
        <f>O72-O73</f>
        <v>1.2232216395346995E-7</v>
      </c>
    </row>
    <row r="73" spans="2:20" x14ac:dyDescent="0.25">
      <c r="B73" s="19">
        <f t="shared" si="13"/>
        <v>37250000</v>
      </c>
      <c r="C73" s="19">
        <f t="shared" si="13"/>
        <v>52000000</v>
      </c>
      <c r="E73" s="19">
        <f t="shared" ref="E73:E77" si="15">M73-M74</f>
        <v>13615787.253058553</v>
      </c>
      <c r="G73" s="19">
        <f t="shared" si="14"/>
        <v>923104.22054634255</v>
      </c>
      <c r="H73" s="19">
        <f t="shared" si="14"/>
        <v>1384656.3308195139</v>
      </c>
      <c r="I73" s="19">
        <f t="shared" si="14"/>
        <v>1846208.4410926851</v>
      </c>
      <c r="J73" s="19">
        <f t="shared" si="14"/>
        <v>2076984.4962292709</v>
      </c>
      <c r="K73" s="19">
        <f t="shared" si="14"/>
        <v>7384833.7643707404</v>
      </c>
      <c r="M73" s="19">
        <f>$C$7*O73-B73*EXP(-$C$10*$C$8)*P73</f>
        <v>715613928.01727057</v>
      </c>
      <c r="N73" s="18"/>
      <c r="O73" s="24">
        <f>NORMSDIST(Q73)</f>
        <v>0.99999987767783605</v>
      </c>
      <c r="P73" s="24">
        <f>NORMSDIST(R73)</f>
        <v>0.99999698535617099</v>
      </c>
      <c r="Q73" s="24">
        <f>(LN($C$7/B73)+($C$10+$C$9*$C$9/2)*$C$8)/($C$9*SQRT($C$8))</f>
        <v>5.1617557773673886</v>
      </c>
      <c r="R73" s="24">
        <f>Q73-$C$9*SQRT($C$8)</f>
        <v>4.5253596742994961</v>
      </c>
      <c r="T73" s="24">
        <f t="shared" ref="T73:T81" si="16">O73-O74</f>
        <v>1.6403506459816697E-6</v>
      </c>
    </row>
    <row r="74" spans="2:20" x14ac:dyDescent="0.25">
      <c r="B74" s="19">
        <f t="shared" si="13"/>
        <v>52000000</v>
      </c>
      <c r="C74" s="19">
        <f t="shared" si="13"/>
        <v>65750000</v>
      </c>
      <c r="E74" s="19">
        <f t="shared" si="15"/>
        <v>12691888.959275126</v>
      </c>
      <c r="G74" s="19">
        <f t="shared" si="14"/>
        <v>0</v>
      </c>
      <c r="H74" s="19">
        <f t="shared" si="14"/>
        <v>1384569.7046481955</v>
      </c>
      <c r="I74" s="19">
        <f t="shared" si="14"/>
        <v>1846092.9395309275</v>
      </c>
      <c r="J74" s="19">
        <f t="shared" si="14"/>
        <v>2076854.5569722934</v>
      </c>
      <c r="K74" s="19">
        <f t="shared" si="14"/>
        <v>7384371.7581237098</v>
      </c>
      <c r="M74" s="19">
        <f>$C$7*O74-B74*EXP(-$C$10*$C$8)*P74</f>
        <v>701998140.76421201</v>
      </c>
      <c r="N74" s="18"/>
      <c r="O74" s="24">
        <f t="shared" ref="O74:P77" si="17">NORMSDIST(Q74)</f>
        <v>0.99999823732719006</v>
      </c>
      <c r="P74" s="24">
        <f t="shared" si="17"/>
        <v>0.99996848507669678</v>
      </c>
      <c r="Q74" s="24">
        <f>(LN($C$7/B74)+($C$10+$C$9*$C$9/2)*$C$8)/($C$9*SQRT($C$8))</f>
        <v>4.6375668765433522</v>
      </c>
      <c r="R74" s="24">
        <f t="shared" ref="R74:R81" si="18">Q74-$C$9*SQRT($C$8)</f>
        <v>4.0011707734754598</v>
      </c>
      <c r="T74" s="24">
        <f t="shared" si="16"/>
        <v>8.0591394961970764E-6</v>
      </c>
    </row>
    <row r="75" spans="2:20" x14ac:dyDescent="0.25">
      <c r="B75" s="19">
        <f t="shared" si="13"/>
        <v>65750000</v>
      </c>
      <c r="C75" s="19">
        <f t="shared" si="13"/>
        <v>73125000</v>
      </c>
      <c r="E75" s="19">
        <f t="shared" si="15"/>
        <v>6806638.486685276</v>
      </c>
      <c r="G75" s="19">
        <f t="shared" si="14"/>
        <v>461467.01604645938</v>
      </c>
      <c r="H75" s="19">
        <f t="shared" si="14"/>
        <v>692200.5240696891</v>
      </c>
      <c r="I75" s="19">
        <f t="shared" si="14"/>
        <v>922934.03209291876</v>
      </c>
      <c r="J75" s="19">
        <f t="shared" si="14"/>
        <v>1038300.7861045337</v>
      </c>
      <c r="K75" s="19">
        <f t="shared" si="14"/>
        <v>3691736.128371675</v>
      </c>
      <c r="M75" s="19">
        <f>$C$7*O75-B75*EXP(-$C$10*$C$8)*P75</f>
        <v>689306251.80493689</v>
      </c>
      <c r="N75" s="18"/>
      <c r="O75" s="24">
        <f t="shared" si="17"/>
        <v>0.99999017818769387</v>
      </c>
      <c r="P75" s="24">
        <f t="shared" si="17"/>
        <v>0.99985965972232671</v>
      </c>
      <c r="Q75" s="24">
        <f>(LN($C$7/B75)+($C$10+$C$9*$C$9/2)*$C$8)/($C$9*SQRT($C$8))</f>
        <v>4.2689034743863825</v>
      </c>
      <c r="R75" s="24">
        <f t="shared" si="18"/>
        <v>3.6325073713184897</v>
      </c>
      <c r="T75" s="24">
        <f t="shared" si="16"/>
        <v>1.0670970175374883E-5</v>
      </c>
    </row>
    <row r="76" spans="2:20" x14ac:dyDescent="0.25">
      <c r="B76" s="19">
        <f t="shared" si="13"/>
        <v>73125000</v>
      </c>
      <c r="C76" s="19">
        <f t="shared" si="13"/>
        <v>106250000</v>
      </c>
      <c r="E76" s="19">
        <f t="shared" si="15"/>
        <v>30549745.414642096</v>
      </c>
      <c r="G76" s="19">
        <f t="shared" si="14"/>
        <v>2305641.1633692146</v>
      </c>
      <c r="H76" s="19">
        <f t="shared" si="14"/>
        <v>0</v>
      </c>
      <c r="I76" s="19">
        <f t="shared" si="14"/>
        <v>4611282.3267384293</v>
      </c>
      <c r="J76" s="19">
        <f t="shared" si="14"/>
        <v>5187692.6175807333</v>
      </c>
      <c r="K76" s="19">
        <f t="shared" si="14"/>
        <v>18445129.306953717</v>
      </c>
      <c r="M76" s="19">
        <f>$C$7*O76-B76*EXP(-$C$10*$C$8)*P76</f>
        <v>682499613.31825161</v>
      </c>
      <c r="N76" s="18"/>
      <c r="O76" s="24">
        <f t="shared" si="17"/>
        <v>0.99997950721751849</v>
      </c>
      <c r="P76" s="24">
        <f t="shared" si="17"/>
        <v>0.9997353337533661</v>
      </c>
      <c r="Q76" s="24">
        <f>(LN($C$7/B76)+($C$10+$C$9*$C$9/2)*$C$8)/($C$9*SQRT($C$8))</f>
        <v>4.1018524286907043</v>
      </c>
      <c r="R76" s="24">
        <f t="shared" si="18"/>
        <v>3.4654563256228115</v>
      </c>
      <c r="T76" s="24">
        <f t="shared" si="16"/>
        <v>1.9958452633883628E-4</v>
      </c>
    </row>
    <row r="77" spans="2:20" x14ac:dyDescent="0.25">
      <c r="B77" s="19">
        <f t="shared" si="13"/>
        <v>106250000</v>
      </c>
      <c r="C77" s="19">
        <f t="shared" si="13"/>
        <v>180000000</v>
      </c>
      <c r="E77" s="19">
        <f t="shared" si="15"/>
        <v>67465842.092645168</v>
      </c>
      <c r="G77" s="19">
        <f t="shared" si="14"/>
        <v>4573955.3961115368</v>
      </c>
      <c r="H77" s="19">
        <f t="shared" si="14"/>
        <v>6860933.0941673061</v>
      </c>
      <c r="I77" s="19">
        <f t="shared" si="14"/>
        <v>9147910.7922230735</v>
      </c>
      <c r="J77" s="19">
        <f t="shared" si="14"/>
        <v>10291399.641250959</v>
      </c>
      <c r="K77" s="19">
        <f t="shared" si="14"/>
        <v>36591643.168892294</v>
      </c>
      <c r="M77" s="19">
        <f>$C$7*O77-B77*EXP(-$C$10*$C$8)*P77</f>
        <v>651949867.90360951</v>
      </c>
      <c r="N77" s="18"/>
      <c r="O77" s="24">
        <f t="shared" si="17"/>
        <v>0.99977992269117966</v>
      </c>
      <c r="P77" s="24">
        <f t="shared" si="17"/>
        <v>0.99800126971238357</v>
      </c>
      <c r="Q77" s="24">
        <f>(LN($C$7/B77)+($C$10+$C$9*$C$9/2)*$C$8)/($C$9*SQRT($C$8))</f>
        <v>3.5147581638902694</v>
      </c>
      <c r="R77" s="24">
        <f t="shared" si="18"/>
        <v>2.8783620608223766</v>
      </c>
      <c r="T77" s="24">
        <f t="shared" si="16"/>
        <v>3.3912192588586576E-3</v>
      </c>
    </row>
    <row r="78" spans="2:20" x14ac:dyDescent="0.25">
      <c r="B78" s="19">
        <f t="shared" ref="B78:C78" si="19">B61</f>
        <v>180000000</v>
      </c>
      <c r="C78" s="19">
        <f t="shared" si="19"/>
        <v>243750000</v>
      </c>
      <c r="E78" s="19">
        <f t="shared" ref="E78:E81" si="20">M78-M79</f>
        <v>56654872.45232296</v>
      </c>
      <c r="G78" s="19">
        <f t="shared" ref="G78:K78" si="21">$E78*G61</f>
        <v>4443519.4080253299</v>
      </c>
      <c r="H78" s="19">
        <f t="shared" si="21"/>
        <v>6665279.1120379949</v>
      </c>
      <c r="I78" s="19">
        <f t="shared" si="21"/>
        <v>0</v>
      </c>
      <c r="J78" s="19">
        <f t="shared" si="21"/>
        <v>9997918.6680569928</v>
      </c>
      <c r="K78" s="19">
        <f t="shared" si="21"/>
        <v>35548155.264202639</v>
      </c>
      <c r="M78" s="19">
        <f t="shared" ref="M78:M81" si="22">$C$7*O78-B78*EXP(-$C$10*$C$8)*P78</f>
        <v>584484025.81096435</v>
      </c>
      <c r="N78" s="18"/>
      <c r="O78" s="24">
        <f t="shared" ref="O78:O81" si="23">NORMSDIST(Q78)</f>
        <v>0.996388703432321</v>
      </c>
      <c r="P78" s="24">
        <f t="shared" ref="P78:P81" si="24">NORMSDIST(R78)</f>
        <v>0.97981811767014071</v>
      </c>
      <c r="Q78" s="24">
        <f t="shared" ref="Q78:Q81" si="25">(LN($C$7/B78)+($C$10+$C$9*$C$9/2)*$C$8)/($C$9*SQRT($C$8))</f>
        <v>2.6864029295568428</v>
      </c>
      <c r="R78" s="24">
        <f t="shared" si="18"/>
        <v>2.0500068264889499</v>
      </c>
      <c r="T78" s="24">
        <f t="shared" si="16"/>
        <v>9.9415730921107448E-3</v>
      </c>
    </row>
    <row r="79" spans="2:20" x14ac:dyDescent="0.25">
      <c r="B79" s="19">
        <f t="shared" ref="B79:C79" si="26">B62</f>
        <v>243750000</v>
      </c>
      <c r="C79" s="19">
        <f t="shared" si="26"/>
        <v>317500000</v>
      </c>
      <c r="E79" s="19">
        <f t="shared" si="20"/>
        <v>62023209.387982965</v>
      </c>
      <c r="G79" s="19">
        <f t="shared" ref="G79:K79" si="27">$E79*G62</f>
        <v>4204963.3483378282</v>
      </c>
      <c r="H79" s="19">
        <f t="shared" si="27"/>
        <v>6307445.0225067427</v>
      </c>
      <c r="I79" s="19">
        <f t="shared" si="27"/>
        <v>8409926.6966756564</v>
      </c>
      <c r="J79" s="19">
        <f t="shared" si="27"/>
        <v>9461167.5337601136</v>
      </c>
      <c r="K79" s="19">
        <f t="shared" si="27"/>
        <v>33639706.786702625</v>
      </c>
      <c r="M79" s="19">
        <f t="shared" si="22"/>
        <v>527829153.35864139</v>
      </c>
      <c r="N79" s="18"/>
      <c r="O79" s="24">
        <f t="shared" si="23"/>
        <v>0.98644713034021025</v>
      </c>
      <c r="P79" s="24">
        <f t="shared" si="24"/>
        <v>0.94220951243786433</v>
      </c>
      <c r="Q79" s="24">
        <f t="shared" si="25"/>
        <v>2.2099916857950288</v>
      </c>
      <c r="R79" s="24">
        <f t="shared" si="18"/>
        <v>1.573595582727136</v>
      </c>
      <c r="T79" s="24">
        <f t="shared" si="16"/>
        <v>2.2803484199361734E-2</v>
      </c>
    </row>
    <row r="80" spans="2:20" x14ac:dyDescent="0.25">
      <c r="B80" s="19">
        <f t="shared" ref="B80:C80" si="28">B63</f>
        <v>317500000</v>
      </c>
      <c r="C80" s="19">
        <f t="shared" si="28"/>
        <v>442500000</v>
      </c>
      <c r="E80" s="19">
        <f t="shared" si="20"/>
        <v>93316998.840156734</v>
      </c>
      <c r="G80" s="19">
        <f t="shared" ref="G80:K80" si="29">$E80*G63</f>
        <v>7465359.9072125386</v>
      </c>
      <c r="H80" s="19">
        <f t="shared" si="29"/>
        <v>11198039.860818807</v>
      </c>
      <c r="I80" s="19">
        <f t="shared" si="29"/>
        <v>14930719.814425077</v>
      </c>
      <c r="J80" s="19">
        <f t="shared" si="29"/>
        <v>0</v>
      </c>
      <c r="K80" s="19">
        <f t="shared" si="29"/>
        <v>59722879.257700309</v>
      </c>
      <c r="M80" s="19">
        <f t="shared" si="22"/>
        <v>465805943.97065842</v>
      </c>
      <c r="N80" s="18"/>
      <c r="O80" s="24">
        <f t="shared" si="23"/>
        <v>0.96364364614084852</v>
      </c>
      <c r="P80" s="24">
        <f t="shared" si="24"/>
        <v>0.87661565239087624</v>
      </c>
      <c r="Q80" s="24">
        <f t="shared" si="25"/>
        <v>1.7946297639031381</v>
      </c>
      <c r="R80" s="24">
        <f t="shared" si="18"/>
        <v>1.1582336608352453</v>
      </c>
      <c r="T80" s="24">
        <f t="shared" si="16"/>
        <v>6.5152526868759053E-2</v>
      </c>
    </row>
    <row r="81" spans="2:20" x14ac:dyDescent="0.25">
      <c r="B81" s="19">
        <f t="shared" ref="B81:C81" si="30">B64</f>
        <v>442500000</v>
      </c>
      <c r="C81" s="19" t="str">
        <f t="shared" si="30"/>
        <v>and above</v>
      </c>
      <c r="E81" s="19">
        <f t="shared" si="20"/>
        <v>372488945.13050169</v>
      </c>
      <c r="G81" s="19">
        <f t="shared" ref="G81:K81" si="31">$E81*G64</f>
        <v>25253487.805457741</v>
      </c>
      <c r="H81" s="19">
        <f t="shared" si="31"/>
        <v>37880231.708186612</v>
      </c>
      <c r="I81" s="19">
        <f t="shared" si="31"/>
        <v>50506975.610915482</v>
      </c>
      <c r="J81" s="19">
        <f t="shared" si="31"/>
        <v>56820347.562279925</v>
      </c>
      <c r="K81" s="19">
        <f t="shared" si="31"/>
        <v>202027902.44366193</v>
      </c>
      <c r="M81" s="19">
        <f t="shared" si="22"/>
        <v>372488945.13050169</v>
      </c>
      <c r="N81" s="18"/>
      <c r="O81" s="24">
        <f t="shared" si="23"/>
        <v>0.89849111927208947</v>
      </c>
      <c r="P81" s="24">
        <f t="shared" si="24"/>
        <v>0.73780881431509659</v>
      </c>
      <c r="Q81" s="24">
        <f t="shared" si="25"/>
        <v>1.273000790194883</v>
      </c>
      <c r="R81" s="24">
        <f t="shared" si="18"/>
        <v>0.63660468712699014</v>
      </c>
      <c r="T81" s="24">
        <f t="shared" si="16"/>
        <v>0.89849111927208947</v>
      </c>
    </row>
    <row r="82" spans="2:20" x14ac:dyDescent="0.25">
      <c r="B82" s="17"/>
      <c r="C82" s="17"/>
      <c r="E82" s="17"/>
      <c r="G82" s="8"/>
      <c r="H82" s="8"/>
      <c r="I82" s="8"/>
      <c r="J82" s="8"/>
      <c r="K82" s="8"/>
      <c r="M82" s="17"/>
      <c r="N82" s="18"/>
      <c r="O82" s="17"/>
      <c r="P82" s="17"/>
      <c r="Q82" s="17"/>
      <c r="R82" s="17"/>
      <c r="T82" s="25"/>
    </row>
    <row r="83" spans="2:20" x14ac:dyDescent="0.25">
      <c r="T83" s="2"/>
    </row>
    <row r="84" spans="2:20" x14ac:dyDescent="0.25">
      <c r="E84" s="14" t="s">
        <v>54</v>
      </c>
      <c r="G84" s="19">
        <f>SUM(G72:G81)</f>
        <v>50554614.29148899</v>
      </c>
      <c r="H84" s="19">
        <f>SUM(H72:H81)</f>
        <v>75835040.456187353</v>
      </c>
      <c r="I84" s="19">
        <f>SUM(I72:I81)</f>
        <v>101453210.91751423</v>
      </c>
      <c r="J84" s="19">
        <f>SUM(J72:J81)</f>
        <v>117720776.4558298</v>
      </c>
      <c r="K84" s="19">
        <f>SUM(K72:K81)</f>
        <v>404436357.87897962</v>
      </c>
      <c r="T84" s="2"/>
    </row>
    <row r="86" spans="2:20" x14ac:dyDescent="0.25">
      <c r="E86" s="14" t="s">
        <v>55</v>
      </c>
      <c r="G86" s="32">
        <f>G84/G8</f>
        <v>505.54614291488991</v>
      </c>
      <c r="H86" s="32">
        <f>H84/H8</f>
        <v>505.56693637458233</v>
      </c>
      <c r="I86" s="32">
        <f>I84/I8</f>
        <v>507.26605458757115</v>
      </c>
      <c r="J86" s="32">
        <f>J84/J8</f>
        <v>523.20345091479908</v>
      </c>
      <c r="K86" s="32">
        <f>K84/K8</f>
        <v>505.54544734872451</v>
      </c>
      <c r="L86" s="32"/>
      <c r="M86" s="32"/>
    </row>
    <row r="88" spans="2:20" x14ac:dyDescent="0.25">
      <c r="E88" s="14" t="s">
        <v>78</v>
      </c>
      <c r="G88" s="33">
        <f>$C$9*SUMPRODUCT(G55:G64,$T$72:$T$81)*($C$7/G84)</f>
        <v>0.45862696883935095</v>
      </c>
      <c r="H88" s="33">
        <f t="shared" ref="H88:K88" si="32">$C$9*SUMPRODUCT(H55:H64,$T$72:$T$81)*($C$7/H84)</f>
        <v>0.45851149603352226</v>
      </c>
      <c r="I88" s="33">
        <f t="shared" si="32"/>
        <v>0.45188816138401744</v>
      </c>
      <c r="J88" s="33">
        <f t="shared" si="32"/>
        <v>0.40953092033820737</v>
      </c>
      <c r="K88" s="33">
        <f t="shared" si="32"/>
        <v>0.45863149083624599</v>
      </c>
      <c r="L88" s="33"/>
      <c r="M88" s="33"/>
    </row>
  </sheetData>
  <mergeCells count="4">
    <mergeCell ref="B18:C18"/>
    <mergeCell ref="B35:C35"/>
    <mergeCell ref="B52:C52"/>
    <mergeCell ref="B69:C6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ED9A5-43C7-4EB9-9873-6D328669C05F}">
  <dimension ref="A1:M6"/>
  <sheetViews>
    <sheetView workbookViewId="0">
      <selection activeCell="L12" sqref="L12"/>
    </sheetView>
  </sheetViews>
  <sheetFormatPr defaultRowHeight="15" x14ac:dyDescent="0.25"/>
  <cols>
    <col min="1" max="1" width="16.5703125" bestFit="1" customWidth="1"/>
    <col min="2" max="2" width="11.42578125" customWidth="1"/>
    <col min="3" max="3" width="11.85546875" bestFit="1" customWidth="1"/>
    <col min="4" max="4" width="8.5703125" bestFit="1" customWidth="1"/>
    <col min="5" max="5" width="31.140625" bestFit="1" customWidth="1"/>
    <col min="6" max="6" width="10.7109375" bestFit="1" customWidth="1"/>
    <col min="7" max="7" width="15.85546875" bestFit="1" customWidth="1"/>
    <col min="8" max="8" width="12.28515625" bestFit="1" customWidth="1"/>
    <col min="9" max="9" width="25.140625" bestFit="1" customWidth="1"/>
    <col min="11" max="11" width="25.5703125" bestFit="1" customWidth="1"/>
    <col min="12" max="12" width="28.85546875" bestFit="1" customWidth="1"/>
    <col min="13" max="13" width="15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74</v>
      </c>
      <c r="L1" t="s">
        <v>75</v>
      </c>
      <c r="M1" t="s">
        <v>76</v>
      </c>
    </row>
    <row r="2" spans="1:13" x14ac:dyDescent="0.25">
      <c r="A2" t="s">
        <v>9</v>
      </c>
      <c r="B2" t="s">
        <v>16</v>
      </c>
      <c r="C2" s="3">
        <v>100000</v>
      </c>
      <c r="D2">
        <v>1</v>
      </c>
      <c r="E2" s="1">
        <f>K2*L2</f>
        <v>20</v>
      </c>
      <c r="F2" t="b">
        <v>1</v>
      </c>
      <c r="G2" s="5">
        <v>1</v>
      </c>
      <c r="K2" s="1">
        <v>10</v>
      </c>
      <c r="L2">
        <v>2</v>
      </c>
      <c r="M2" s="1">
        <v>10</v>
      </c>
    </row>
    <row r="3" spans="1:13" x14ac:dyDescent="0.25">
      <c r="A3" t="s">
        <v>10</v>
      </c>
      <c r="B3" t="s">
        <v>16</v>
      </c>
      <c r="C3" s="3">
        <v>150000</v>
      </c>
      <c r="D3">
        <v>1</v>
      </c>
      <c r="E3" s="1">
        <f t="shared" ref="E3:E5" si="0">K3*L3</f>
        <v>50</v>
      </c>
      <c r="F3" t="b">
        <v>1</v>
      </c>
      <c r="G3" s="5">
        <v>1</v>
      </c>
      <c r="K3" s="1">
        <v>25</v>
      </c>
      <c r="L3">
        <v>2</v>
      </c>
      <c r="M3" s="1">
        <v>25</v>
      </c>
    </row>
    <row r="4" spans="1:13" x14ac:dyDescent="0.25">
      <c r="A4" t="s">
        <v>11</v>
      </c>
      <c r="B4" t="s">
        <v>16</v>
      </c>
      <c r="C4" s="3">
        <v>200000</v>
      </c>
      <c r="D4">
        <v>1</v>
      </c>
      <c r="E4" s="1">
        <f t="shared" si="0"/>
        <v>100</v>
      </c>
      <c r="F4" t="b">
        <v>1</v>
      </c>
      <c r="G4" s="5">
        <v>1</v>
      </c>
      <c r="K4" s="1">
        <v>50</v>
      </c>
      <c r="L4">
        <v>2</v>
      </c>
      <c r="M4" s="1">
        <v>50</v>
      </c>
    </row>
    <row r="5" spans="1:13" x14ac:dyDescent="0.25">
      <c r="A5" t="s">
        <v>12</v>
      </c>
      <c r="B5" t="s">
        <v>16</v>
      </c>
      <c r="C5" s="3">
        <v>225000</v>
      </c>
      <c r="D5">
        <v>1</v>
      </c>
      <c r="E5" s="1">
        <f t="shared" si="0"/>
        <v>200</v>
      </c>
      <c r="F5" t="b">
        <v>1</v>
      </c>
      <c r="G5" s="5">
        <v>1</v>
      </c>
      <c r="K5" s="1">
        <v>100</v>
      </c>
      <c r="L5">
        <v>2</v>
      </c>
      <c r="M5" s="1">
        <v>100</v>
      </c>
    </row>
    <row r="6" spans="1:13" x14ac:dyDescent="0.25">
      <c r="A6" t="s">
        <v>15</v>
      </c>
      <c r="B6" t="s">
        <v>15</v>
      </c>
      <c r="C6" s="3">
        <v>800000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31FC-F877-4631-AA32-C5899A2733A2}">
  <dimension ref="B5:T69"/>
  <sheetViews>
    <sheetView showGridLines="0" topLeftCell="A40" zoomScale="85" zoomScaleNormal="85" workbookViewId="0">
      <selection activeCell="G67" sqref="G67:M69"/>
    </sheetView>
  </sheetViews>
  <sheetFormatPr defaultRowHeight="15" x14ac:dyDescent="0.25"/>
  <cols>
    <col min="2" max="3" width="17.140625" customWidth="1"/>
    <col min="4" max="4" width="2.85546875" customWidth="1"/>
    <col min="5" max="5" width="17.140625" customWidth="1"/>
    <col min="6" max="6" width="2.85546875" customWidth="1"/>
    <col min="7" max="11" width="17.140625" customWidth="1"/>
    <col min="13" max="13" width="17.140625" customWidth="1"/>
  </cols>
  <sheetData>
    <row r="5" spans="2:12" x14ac:dyDescent="0.25">
      <c r="B5" s="9" t="s">
        <v>33</v>
      </c>
      <c r="C5" s="9"/>
      <c r="G5" s="9" t="s">
        <v>9</v>
      </c>
      <c r="H5" s="9" t="s">
        <v>10</v>
      </c>
      <c r="I5" s="9" t="s">
        <v>11</v>
      </c>
      <c r="J5" s="9" t="s">
        <v>12</v>
      </c>
      <c r="K5" s="9" t="s">
        <v>15</v>
      </c>
    </row>
    <row r="6" spans="2:12" x14ac:dyDescent="0.25">
      <c r="B6" s="6"/>
      <c r="C6" s="6"/>
      <c r="G6" s="6"/>
      <c r="H6" s="6"/>
      <c r="I6" s="6"/>
      <c r="J6" s="6"/>
      <c r="K6" s="6"/>
    </row>
    <row r="7" spans="2:12" x14ac:dyDescent="0.25">
      <c r="B7" t="s">
        <v>34</v>
      </c>
      <c r="C7" s="7">
        <v>300000000</v>
      </c>
      <c r="G7" s="11">
        <f>'4.a Capital Structure'!D2</f>
        <v>1</v>
      </c>
      <c r="H7" s="11">
        <f>'4.a Capital Structure'!D3</f>
        <v>1</v>
      </c>
      <c r="I7" s="11">
        <f>'4.a Capital Structure'!D4</f>
        <v>1</v>
      </c>
      <c r="J7" s="11">
        <f>'4.a Capital Structure'!D5</f>
        <v>1</v>
      </c>
      <c r="K7" s="11"/>
      <c r="L7" s="11" t="s">
        <v>37</v>
      </c>
    </row>
    <row r="8" spans="2:12" x14ac:dyDescent="0.25">
      <c r="B8" t="s">
        <v>47</v>
      </c>
      <c r="C8">
        <v>2</v>
      </c>
      <c r="G8" s="12">
        <f>'4.a Capital Structure'!C2</f>
        <v>100000</v>
      </c>
      <c r="H8" s="12">
        <f>'4.a Capital Structure'!C3</f>
        <v>150000</v>
      </c>
      <c r="I8" s="12">
        <f>'4.a Capital Structure'!C4</f>
        <v>200000</v>
      </c>
      <c r="J8" s="12">
        <f>'4.a Capital Structure'!C5</f>
        <v>225000</v>
      </c>
      <c r="K8" s="12">
        <f>'4.a Capital Structure'!C6</f>
        <v>800000</v>
      </c>
      <c r="L8" s="11" t="s">
        <v>38</v>
      </c>
    </row>
    <row r="9" spans="2:12" x14ac:dyDescent="0.25">
      <c r="B9" t="s">
        <v>35</v>
      </c>
      <c r="C9" s="23">
        <v>0.45</v>
      </c>
      <c r="G9" s="13">
        <f>'4.a Capital Structure'!E2</f>
        <v>20</v>
      </c>
      <c r="H9" s="13">
        <f>'4.a Capital Structure'!E3</f>
        <v>50</v>
      </c>
      <c r="I9" s="13">
        <f>'4.a Capital Structure'!E4</f>
        <v>100</v>
      </c>
      <c r="J9" s="13">
        <f>'4.a Capital Structure'!E5</f>
        <v>200</v>
      </c>
      <c r="K9" s="11"/>
      <c r="L9" s="11" t="s">
        <v>40</v>
      </c>
    </row>
    <row r="10" spans="2:12" x14ac:dyDescent="0.25">
      <c r="B10" t="s">
        <v>36</v>
      </c>
      <c r="C10" s="23">
        <v>0.04</v>
      </c>
      <c r="G10" s="13">
        <f>G8*G9</f>
        <v>2000000</v>
      </c>
      <c r="H10" s="13">
        <f t="shared" ref="H10:J10" si="0">H8*H9</f>
        <v>7500000</v>
      </c>
      <c r="I10" s="13">
        <f t="shared" si="0"/>
        <v>20000000</v>
      </c>
      <c r="J10" s="13">
        <f t="shared" si="0"/>
        <v>45000000</v>
      </c>
      <c r="K10" s="11"/>
      <c r="L10" s="11" t="s">
        <v>39</v>
      </c>
    </row>
    <row r="11" spans="2:12" x14ac:dyDescent="0.25">
      <c r="B11" s="8"/>
      <c r="C11" s="8"/>
      <c r="G11" s="10"/>
      <c r="H11" s="10"/>
      <c r="I11" s="10"/>
      <c r="J11" s="10"/>
      <c r="K11" s="8"/>
      <c r="L11" s="11"/>
    </row>
    <row r="12" spans="2:12" x14ac:dyDescent="0.25">
      <c r="C12" s="23"/>
      <c r="G12" s="12"/>
      <c r="H12" s="12"/>
      <c r="I12" s="12"/>
      <c r="J12" s="12"/>
      <c r="K12" s="11"/>
      <c r="L12" s="11"/>
    </row>
    <row r="15" spans="2:12" x14ac:dyDescent="0.25">
      <c r="B15" s="31" t="s">
        <v>41</v>
      </c>
      <c r="C15" s="31"/>
      <c r="E15" s="16"/>
      <c r="G15" s="16"/>
      <c r="H15" s="16"/>
      <c r="I15" s="16"/>
      <c r="J15" s="16"/>
      <c r="K15" s="16"/>
    </row>
    <row r="16" spans="2:12" x14ac:dyDescent="0.25">
      <c r="B16" s="17" t="s">
        <v>17</v>
      </c>
      <c r="C16" s="17" t="s">
        <v>18</v>
      </c>
      <c r="E16" s="17"/>
      <c r="G16" s="21" t="str">
        <f>G5</f>
        <v>Series A Preferred</v>
      </c>
      <c r="H16" s="21" t="str">
        <f>H5</f>
        <v>Series B Preferred</v>
      </c>
      <c r="I16" s="21" t="str">
        <f>I5</f>
        <v>Series C Preferred</v>
      </c>
      <c r="J16" s="21" t="str">
        <f>J5</f>
        <v>Series D Preferred</v>
      </c>
      <c r="K16" s="21" t="str">
        <f>K5</f>
        <v>Common</v>
      </c>
    </row>
    <row r="17" spans="2:11" x14ac:dyDescent="0.25">
      <c r="B17" s="18"/>
      <c r="C17" s="18"/>
      <c r="E17" s="18"/>
      <c r="G17" s="18"/>
      <c r="H17" s="18"/>
      <c r="I17" s="18"/>
      <c r="J17" s="18"/>
      <c r="K17" s="18"/>
    </row>
    <row r="18" spans="2:11" x14ac:dyDescent="0.25">
      <c r="B18" s="19">
        <v>0</v>
      </c>
      <c r="C18" s="19">
        <f>B18+SUM(G18:J18)</f>
        <v>74500000</v>
      </c>
      <c r="E18" s="18"/>
      <c r="G18" s="19">
        <f>G10</f>
        <v>2000000</v>
      </c>
      <c r="H18" s="19">
        <f>H10</f>
        <v>7500000</v>
      </c>
      <c r="I18" s="19">
        <f>I10</f>
        <v>20000000</v>
      </c>
      <c r="J18" s="19">
        <f>J10</f>
        <v>45000000</v>
      </c>
      <c r="K18" s="18"/>
    </row>
    <row r="19" spans="2:11" x14ac:dyDescent="0.25">
      <c r="B19" s="19">
        <f>C18</f>
        <v>74500000</v>
      </c>
      <c r="C19" s="19">
        <f t="shared" ref="C19:C22" si="1">B19+(E19-E18)*SUM(G19:K19)</f>
        <v>90500000</v>
      </c>
      <c r="E19" s="19">
        <f>G9</f>
        <v>20</v>
      </c>
      <c r="G19" s="20"/>
      <c r="H19" s="20"/>
      <c r="I19" s="20"/>
      <c r="J19" s="20"/>
      <c r="K19" s="20">
        <f t="shared" ref="G19:K23" si="2">K$8</f>
        <v>800000</v>
      </c>
    </row>
    <row r="20" spans="2:11" x14ac:dyDescent="0.25">
      <c r="B20" s="19">
        <f t="shared" ref="B20:B23" si="3">C19</f>
        <v>90500000</v>
      </c>
      <c r="C20" s="19">
        <f t="shared" si="1"/>
        <v>117500000</v>
      </c>
      <c r="E20" s="19">
        <f>H9</f>
        <v>50</v>
      </c>
      <c r="G20" s="20">
        <f t="shared" si="2"/>
        <v>100000</v>
      </c>
      <c r="H20" s="20"/>
      <c r="I20" s="20"/>
      <c r="J20" s="20"/>
      <c r="K20" s="20">
        <f t="shared" si="2"/>
        <v>800000</v>
      </c>
    </row>
    <row r="21" spans="2:11" x14ac:dyDescent="0.25">
      <c r="B21" s="19">
        <f t="shared" si="3"/>
        <v>117500000</v>
      </c>
      <c r="C21" s="19">
        <f t="shared" si="1"/>
        <v>170000000</v>
      </c>
      <c r="E21" s="19">
        <f>I9</f>
        <v>100</v>
      </c>
      <c r="G21" s="20">
        <f t="shared" si="2"/>
        <v>100000</v>
      </c>
      <c r="H21" s="20">
        <f t="shared" si="2"/>
        <v>150000</v>
      </c>
      <c r="I21" s="20"/>
      <c r="J21" s="20"/>
      <c r="K21" s="20">
        <f t="shared" si="2"/>
        <v>800000</v>
      </c>
    </row>
    <row r="22" spans="2:11" x14ac:dyDescent="0.25">
      <c r="B22" s="19">
        <f t="shared" si="3"/>
        <v>170000000</v>
      </c>
      <c r="C22" s="19">
        <f t="shared" si="1"/>
        <v>295000000</v>
      </c>
      <c r="E22" s="19">
        <f>J9</f>
        <v>200</v>
      </c>
      <c r="G22" s="20">
        <f t="shared" si="2"/>
        <v>100000</v>
      </c>
      <c r="H22" s="20">
        <f t="shared" si="2"/>
        <v>150000</v>
      </c>
      <c r="I22" s="20">
        <f t="shared" si="2"/>
        <v>200000</v>
      </c>
      <c r="J22" s="20"/>
      <c r="K22" s="20">
        <f t="shared" si="2"/>
        <v>800000</v>
      </c>
    </row>
    <row r="23" spans="2:11" x14ac:dyDescent="0.25">
      <c r="B23" s="19">
        <f t="shared" si="3"/>
        <v>295000000</v>
      </c>
      <c r="C23" s="19" t="s">
        <v>19</v>
      </c>
      <c r="E23" s="19"/>
      <c r="G23" s="20">
        <f t="shared" si="2"/>
        <v>100000</v>
      </c>
      <c r="H23" s="20">
        <f t="shared" si="2"/>
        <v>150000</v>
      </c>
      <c r="I23" s="20">
        <f t="shared" si="2"/>
        <v>200000</v>
      </c>
      <c r="J23" s="20">
        <f t="shared" si="2"/>
        <v>225000</v>
      </c>
      <c r="K23" s="20">
        <f t="shared" si="2"/>
        <v>800000</v>
      </c>
    </row>
    <row r="24" spans="2:11" x14ac:dyDescent="0.25">
      <c r="B24" s="17"/>
      <c r="C24" s="17"/>
      <c r="E24" s="17"/>
      <c r="G24" s="17"/>
      <c r="H24" s="17"/>
      <c r="I24" s="17"/>
      <c r="J24" s="17"/>
      <c r="K24" s="17"/>
    </row>
    <row r="28" spans="2:11" x14ac:dyDescent="0.25">
      <c r="B28" s="31" t="s">
        <v>41</v>
      </c>
      <c r="C28" s="31"/>
      <c r="D28" s="18"/>
      <c r="E28" s="15" t="s">
        <v>42</v>
      </c>
      <c r="G28" s="6"/>
      <c r="H28" s="6"/>
      <c r="I28" s="6"/>
      <c r="J28" s="6"/>
      <c r="K28" s="6"/>
    </row>
    <row r="29" spans="2:11" x14ac:dyDescent="0.25">
      <c r="B29" s="17" t="str">
        <f>B16</f>
        <v xml:space="preserve">From </v>
      </c>
      <c r="C29" s="17" t="str">
        <f>C16</f>
        <v>To</v>
      </c>
      <c r="D29" s="18"/>
      <c r="E29" s="21" t="s">
        <v>43</v>
      </c>
      <c r="G29" s="8"/>
      <c r="H29" s="8"/>
      <c r="I29" s="8"/>
      <c r="J29" s="8"/>
      <c r="K29" s="8"/>
    </row>
    <row r="30" spans="2:11" x14ac:dyDescent="0.25">
      <c r="B30" s="18"/>
      <c r="C30" s="18"/>
      <c r="D30" s="18"/>
      <c r="E30" s="18"/>
    </row>
    <row r="31" spans="2:11" x14ac:dyDescent="0.25">
      <c r="B31" s="18">
        <f t="shared" ref="B31:C36" si="4">B18</f>
        <v>0</v>
      </c>
      <c r="C31" s="19">
        <f t="shared" si="4"/>
        <v>74500000</v>
      </c>
      <c r="D31" s="18"/>
      <c r="E31" s="19">
        <f>C31-B31</f>
        <v>74500000</v>
      </c>
      <c r="G31" t="s">
        <v>63</v>
      </c>
    </row>
    <row r="32" spans="2:11" x14ac:dyDescent="0.25">
      <c r="B32" s="19">
        <f t="shared" si="4"/>
        <v>74500000</v>
      </c>
      <c r="C32" s="19">
        <f t="shared" si="4"/>
        <v>90500000</v>
      </c>
      <c r="D32" s="18"/>
      <c r="E32" s="19">
        <f t="shared" ref="E32:E35" si="5">C32-B32</f>
        <v>16000000</v>
      </c>
      <c r="G32" t="s">
        <v>80</v>
      </c>
    </row>
    <row r="33" spans="2:11" x14ac:dyDescent="0.25">
      <c r="B33" s="19">
        <f t="shared" si="4"/>
        <v>90500000</v>
      </c>
      <c r="C33" s="19">
        <f t="shared" si="4"/>
        <v>117500000</v>
      </c>
      <c r="D33" s="18"/>
      <c r="E33" s="19">
        <f t="shared" si="5"/>
        <v>27000000</v>
      </c>
      <c r="G33" t="s">
        <v>81</v>
      </c>
      <c r="J33" s="7"/>
    </row>
    <row r="34" spans="2:11" x14ac:dyDescent="0.25">
      <c r="B34" s="19">
        <f t="shared" si="4"/>
        <v>117500000</v>
      </c>
      <c r="C34" s="19">
        <f t="shared" si="4"/>
        <v>170000000</v>
      </c>
      <c r="D34" s="18"/>
      <c r="E34" s="19">
        <f t="shared" si="5"/>
        <v>52500000</v>
      </c>
      <c r="G34" t="s">
        <v>82</v>
      </c>
      <c r="I34" s="7"/>
    </row>
    <row r="35" spans="2:11" x14ac:dyDescent="0.25">
      <c r="B35" s="19">
        <f t="shared" si="4"/>
        <v>170000000</v>
      </c>
      <c r="C35" s="19">
        <f t="shared" si="4"/>
        <v>295000000</v>
      </c>
      <c r="D35" s="18"/>
      <c r="E35" s="19">
        <f t="shared" si="5"/>
        <v>125000000</v>
      </c>
      <c r="G35" t="s">
        <v>83</v>
      </c>
      <c r="H35" s="7"/>
    </row>
    <row r="36" spans="2:11" x14ac:dyDescent="0.25">
      <c r="B36" s="19">
        <f t="shared" si="4"/>
        <v>295000000</v>
      </c>
      <c r="C36" s="19" t="str">
        <f t="shared" si="4"/>
        <v>and above</v>
      </c>
      <c r="D36" s="18"/>
      <c r="E36" s="19"/>
      <c r="G36" s="7" t="s">
        <v>84</v>
      </c>
    </row>
    <row r="37" spans="2:11" x14ac:dyDescent="0.25">
      <c r="B37" s="17"/>
      <c r="C37" s="17"/>
      <c r="D37" s="18"/>
      <c r="E37" s="17"/>
      <c r="G37" s="8"/>
      <c r="H37" s="8"/>
      <c r="I37" s="8"/>
      <c r="J37" s="8"/>
      <c r="K37" s="8"/>
    </row>
    <row r="41" spans="2:11" x14ac:dyDescent="0.25">
      <c r="B41" s="31" t="s">
        <v>41</v>
      </c>
      <c r="C41" s="31"/>
      <c r="E41" s="15" t="s">
        <v>44</v>
      </c>
      <c r="G41" s="16"/>
      <c r="H41" s="16"/>
      <c r="I41" s="16"/>
      <c r="J41" s="16"/>
      <c r="K41" s="16"/>
    </row>
    <row r="42" spans="2:11" x14ac:dyDescent="0.25">
      <c r="B42" s="17" t="str">
        <f>B29</f>
        <v xml:space="preserve">From </v>
      </c>
      <c r="C42" s="17" t="str">
        <f>C29</f>
        <v>To</v>
      </c>
      <c r="E42" s="21" t="s">
        <v>45</v>
      </c>
      <c r="G42" s="21" t="str">
        <f>G16</f>
        <v>Series A Preferred</v>
      </c>
      <c r="H42" s="21" t="str">
        <f>H16</f>
        <v>Series B Preferred</v>
      </c>
      <c r="I42" s="21" t="str">
        <f>I16</f>
        <v>Series C Preferred</v>
      </c>
      <c r="J42" s="21" t="str">
        <f>J16</f>
        <v>Series D Preferred</v>
      </c>
      <c r="K42" s="21" t="str">
        <f>K16</f>
        <v>Common</v>
      </c>
    </row>
    <row r="43" spans="2:11" x14ac:dyDescent="0.25">
      <c r="B43" s="18"/>
      <c r="C43" s="18"/>
      <c r="E43" s="18"/>
      <c r="G43" s="18"/>
      <c r="H43" s="18"/>
      <c r="I43" s="18"/>
      <c r="J43" s="18"/>
      <c r="K43" s="18"/>
    </row>
    <row r="44" spans="2:11" x14ac:dyDescent="0.25">
      <c r="B44" s="18">
        <f t="shared" ref="B44:C49" si="6">B31</f>
        <v>0</v>
      </c>
      <c r="C44" s="19">
        <f t="shared" si="6"/>
        <v>74500000</v>
      </c>
      <c r="E44" s="22">
        <f t="shared" ref="E44:E49" si="7">SUM(G44:K44)</f>
        <v>1</v>
      </c>
      <c r="G44" s="22">
        <f t="shared" ref="G44:K49" si="8">G18/SUM($G18:$K18)</f>
        <v>2.6845637583892617E-2</v>
      </c>
      <c r="H44" s="22">
        <f t="shared" si="8"/>
        <v>0.10067114093959731</v>
      </c>
      <c r="I44" s="22">
        <f t="shared" si="8"/>
        <v>0.26845637583892618</v>
      </c>
      <c r="J44" s="22">
        <f t="shared" si="8"/>
        <v>0.60402684563758391</v>
      </c>
      <c r="K44" s="22">
        <f t="shared" si="8"/>
        <v>0</v>
      </c>
    </row>
    <row r="45" spans="2:11" x14ac:dyDescent="0.25">
      <c r="B45" s="19">
        <f t="shared" si="6"/>
        <v>74500000</v>
      </c>
      <c r="C45" s="19">
        <f t="shared" si="6"/>
        <v>90500000</v>
      </c>
      <c r="E45" s="22">
        <f t="shared" si="7"/>
        <v>1</v>
      </c>
      <c r="G45" s="22">
        <f t="shared" si="8"/>
        <v>0</v>
      </c>
      <c r="H45" s="22">
        <f t="shared" si="8"/>
        <v>0</v>
      </c>
      <c r="I45" s="22">
        <f t="shared" si="8"/>
        <v>0</v>
      </c>
      <c r="J45" s="22">
        <f t="shared" si="8"/>
        <v>0</v>
      </c>
      <c r="K45" s="22">
        <f t="shared" si="8"/>
        <v>1</v>
      </c>
    </row>
    <row r="46" spans="2:11" x14ac:dyDescent="0.25">
      <c r="B46" s="19">
        <f t="shared" si="6"/>
        <v>90500000</v>
      </c>
      <c r="C46" s="19">
        <f t="shared" si="6"/>
        <v>117500000</v>
      </c>
      <c r="E46" s="22">
        <f t="shared" si="7"/>
        <v>1</v>
      </c>
      <c r="G46" s="22">
        <f t="shared" si="8"/>
        <v>0.1111111111111111</v>
      </c>
      <c r="H46" s="22">
        <f t="shared" si="8"/>
        <v>0</v>
      </c>
      <c r="I46" s="22">
        <f t="shared" si="8"/>
        <v>0</v>
      </c>
      <c r="J46" s="22">
        <f t="shared" si="8"/>
        <v>0</v>
      </c>
      <c r="K46" s="22">
        <f t="shared" si="8"/>
        <v>0.88888888888888884</v>
      </c>
    </row>
    <row r="47" spans="2:11" x14ac:dyDescent="0.25">
      <c r="B47" s="19">
        <f t="shared" si="6"/>
        <v>117500000</v>
      </c>
      <c r="C47" s="19">
        <f t="shared" si="6"/>
        <v>170000000</v>
      </c>
      <c r="E47" s="22">
        <f t="shared" si="7"/>
        <v>1</v>
      </c>
      <c r="G47" s="22">
        <f t="shared" si="8"/>
        <v>9.5238095238095233E-2</v>
      </c>
      <c r="H47" s="22">
        <f t="shared" si="8"/>
        <v>0.14285714285714285</v>
      </c>
      <c r="I47" s="22">
        <f t="shared" si="8"/>
        <v>0</v>
      </c>
      <c r="J47" s="22">
        <f t="shared" si="8"/>
        <v>0</v>
      </c>
      <c r="K47" s="22">
        <f t="shared" si="8"/>
        <v>0.76190476190476186</v>
      </c>
    </row>
    <row r="48" spans="2:11" x14ac:dyDescent="0.25">
      <c r="B48" s="19">
        <f t="shared" si="6"/>
        <v>170000000</v>
      </c>
      <c r="C48" s="19">
        <f t="shared" si="6"/>
        <v>295000000</v>
      </c>
      <c r="E48" s="22">
        <f t="shared" si="7"/>
        <v>1</v>
      </c>
      <c r="G48" s="22">
        <f t="shared" si="8"/>
        <v>0.08</v>
      </c>
      <c r="H48" s="22">
        <f t="shared" si="8"/>
        <v>0.12</v>
      </c>
      <c r="I48" s="22">
        <f t="shared" si="8"/>
        <v>0.16</v>
      </c>
      <c r="J48" s="22">
        <f t="shared" si="8"/>
        <v>0</v>
      </c>
      <c r="K48" s="22">
        <f t="shared" si="8"/>
        <v>0.64</v>
      </c>
    </row>
    <row r="49" spans="2:20" x14ac:dyDescent="0.25">
      <c r="B49" s="19">
        <f t="shared" si="6"/>
        <v>295000000</v>
      </c>
      <c r="C49" s="19" t="str">
        <f t="shared" si="6"/>
        <v>and above</v>
      </c>
      <c r="E49" s="22">
        <f t="shared" si="7"/>
        <v>1</v>
      </c>
      <c r="G49" s="22">
        <f t="shared" si="8"/>
        <v>6.7796610169491525E-2</v>
      </c>
      <c r="H49" s="22">
        <f t="shared" si="8"/>
        <v>0.10169491525423729</v>
      </c>
      <c r="I49" s="22">
        <f t="shared" si="8"/>
        <v>0.13559322033898305</v>
      </c>
      <c r="J49" s="22">
        <f t="shared" si="8"/>
        <v>0.15254237288135594</v>
      </c>
      <c r="K49" s="22">
        <f t="shared" si="8"/>
        <v>0.5423728813559322</v>
      </c>
    </row>
    <row r="50" spans="2:20" x14ac:dyDescent="0.25">
      <c r="B50" s="17"/>
      <c r="C50" s="17"/>
      <c r="E50" s="17"/>
      <c r="G50" s="17"/>
      <c r="H50" s="17"/>
      <c r="I50" s="17"/>
      <c r="J50" s="17"/>
      <c r="K50" s="17"/>
    </row>
    <row r="51" spans="2:20" x14ac:dyDescent="0.25">
      <c r="G51" s="18"/>
      <c r="H51" s="18"/>
      <c r="I51" s="18"/>
      <c r="J51" s="18"/>
      <c r="K51" s="18"/>
    </row>
    <row r="52" spans="2:20" x14ac:dyDescent="0.25">
      <c r="G52" s="18"/>
      <c r="H52" s="18"/>
      <c r="I52" s="18"/>
      <c r="J52" s="18"/>
      <c r="K52" s="18"/>
    </row>
    <row r="53" spans="2:20" x14ac:dyDescent="0.25">
      <c r="G53" s="18"/>
      <c r="H53" s="18"/>
      <c r="I53" s="18"/>
      <c r="J53" s="18"/>
      <c r="K53" s="18"/>
    </row>
    <row r="54" spans="2:20" x14ac:dyDescent="0.25">
      <c r="B54" s="31" t="str">
        <f>B41</f>
        <v>Breakpoints</v>
      </c>
      <c r="C54" s="31">
        <f>C41</f>
        <v>0</v>
      </c>
      <c r="E54" s="15" t="s">
        <v>46</v>
      </c>
      <c r="G54" s="16"/>
      <c r="H54" s="16"/>
      <c r="I54" s="16"/>
      <c r="J54" s="16"/>
      <c r="K54" s="16"/>
      <c r="M54" s="16" t="s">
        <v>52</v>
      </c>
      <c r="N54" s="18"/>
      <c r="O54" s="16"/>
      <c r="P54" s="16"/>
      <c r="Q54" s="16"/>
      <c r="R54" s="16"/>
      <c r="S54" s="18"/>
      <c r="T54" s="16" t="s">
        <v>42</v>
      </c>
    </row>
    <row r="55" spans="2:20" x14ac:dyDescent="0.25">
      <c r="B55" s="17" t="str">
        <f>B42</f>
        <v xml:space="preserve">From </v>
      </c>
      <c r="C55" s="17" t="str">
        <f>C42</f>
        <v>To</v>
      </c>
      <c r="E55" s="17"/>
      <c r="G55" s="21" t="str">
        <f>G5</f>
        <v>Series A Preferred</v>
      </c>
      <c r="H55" s="21" t="str">
        <f>H5</f>
        <v>Series B Preferred</v>
      </c>
      <c r="I55" s="21" t="str">
        <f>I5</f>
        <v>Series C Preferred</v>
      </c>
      <c r="J55" s="21" t="str">
        <f>J5</f>
        <v>Series D Preferred</v>
      </c>
      <c r="K55" s="21" t="str">
        <f>K5</f>
        <v>Common</v>
      </c>
      <c r="M55" s="17" t="s">
        <v>53</v>
      </c>
      <c r="N55" s="18"/>
      <c r="O55" s="17" t="s">
        <v>48</v>
      </c>
      <c r="P55" s="17" t="s">
        <v>49</v>
      </c>
      <c r="Q55" s="17" t="s">
        <v>50</v>
      </c>
      <c r="R55" s="17" t="s">
        <v>51</v>
      </c>
      <c r="S55" s="18"/>
      <c r="T55" s="17" t="s">
        <v>48</v>
      </c>
    </row>
    <row r="56" spans="2:20" x14ac:dyDescent="0.25">
      <c r="B56" s="18"/>
      <c r="C56" s="18"/>
      <c r="E56" s="16"/>
      <c r="G56" s="6"/>
      <c r="H56" s="6"/>
      <c r="I56" s="6"/>
      <c r="J56" s="6"/>
      <c r="K56" s="6"/>
      <c r="M56" s="16"/>
      <c r="N56" s="18"/>
      <c r="O56" s="16"/>
      <c r="P56" s="16"/>
      <c r="Q56" s="16"/>
      <c r="R56" s="16"/>
      <c r="S56" s="18"/>
      <c r="T56" s="16"/>
    </row>
    <row r="57" spans="2:20" x14ac:dyDescent="0.25">
      <c r="B57" s="18">
        <f t="shared" ref="B57:C62" si="9">B44</f>
        <v>0</v>
      </c>
      <c r="C57" s="19">
        <f t="shared" si="9"/>
        <v>74500000</v>
      </c>
      <c r="E57" s="19">
        <f>M57-M58</f>
        <v>68464454.17443341</v>
      </c>
      <c r="G57" s="19">
        <f t="shared" ref="G57:K62" si="10">$E57*G44</f>
        <v>1837971.9241458634</v>
      </c>
      <c r="H57" s="19">
        <f t="shared" si="10"/>
        <v>6892394.715546987</v>
      </c>
      <c r="I57" s="19">
        <f t="shared" si="10"/>
        <v>18379719.241458632</v>
      </c>
      <c r="J57" s="19">
        <f t="shared" si="10"/>
        <v>41354368.293281928</v>
      </c>
      <c r="K57" s="19">
        <f t="shared" si="10"/>
        <v>0</v>
      </c>
      <c r="M57" s="19">
        <f>C7</f>
        <v>300000000</v>
      </c>
      <c r="N57" s="18"/>
      <c r="O57" s="18">
        <v>1</v>
      </c>
      <c r="P57" s="18"/>
      <c r="Q57" s="18"/>
      <c r="R57" s="18"/>
      <c r="S57" s="18"/>
      <c r="T57" s="24">
        <f>O57-O58</f>
        <v>4.2346077687144268E-3</v>
      </c>
    </row>
    <row r="58" spans="2:20" x14ac:dyDescent="0.25">
      <c r="B58" s="19">
        <f t="shared" si="9"/>
        <v>74500000</v>
      </c>
      <c r="C58" s="19">
        <f t="shared" si="9"/>
        <v>90500000</v>
      </c>
      <c r="E58" s="19">
        <f t="shared" ref="E58:E62" si="11">M58-M59</f>
        <v>14274858.4197056</v>
      </c>
      <c r="G58" s="19">
        <f t="shared" si="10"/>
        <v>0</v>
      </c>
      <c r="H58" s="19">
        <f t="shared" si="10"/>
        <v>0</v>
      </c>
      <c r="I58" s="19">
        <f t="shared" si="10"/>
        <v>0</v>
      </c>
      <c r="J58" s="19">
        <f t="shared" si="10"/>
        <v>0</v>
      </c>
      <c r="K58" s="19">
        <f t="shared" si="10"/>
        <v>14274858.4197056</v>
      </c>
      <c r="M58" s="19">
        <f>$C$7*O58-B58*EXP(-$C$10*$C$8)*P58</f>
        <v>231535545.82556659</v>
      </c>
      <c r="N58" s="18"/>
      <c r="O58" s="24">
        <f>NORMSDIST(Q58)</f>
        <v>0.99576539223128557</v>
      </c>
      <c r="P58" s="24">
        <f>NORMSDIST(R58)</f>
        <v>0.97705327587693014</v>
      </c>
      <c r="Q58" s="24">
        <f>(LN($C$7/B58)+($C$10+$C$9*$C$9/2)*$C$8)/($C$9*SQRT($C$8))</f>
        <v>2.6327680845210035</v>
      </c>
      <c r="R58" s="24">
        <f>Q58-$C$9*SQRT($C$8)</f>
        <v>1.9963719814531107</v>
      </c>
      <c r="S58" s="18"/>
      <c r="T58" s="24">
        <f t="shared" ref="T58:T62" si="12">O58-O59</f>
        <v>5.7463986470469575E-3</v>
      </c>
    </row>
    <row r="59" spans="2:20" x14ac:dyDescent="0.25">
      <c r="B59" s="19">
        <f t="shared" si="9"/>
        <v>90500000</v>
      </c>
      <c r="C59" s="19">
        <f t="shared" si="9"/>
        <v>117500000</v>
      </c>
      <c r="E59" s="19">
        <f t="shared" si="11"/>
        <v>23147880.114314228</v>
      </c>
      <c r="G59" s="19">
        <f t="shared" si="10"/>
        <v>2571986.6793682473</v>
      </c>
      <c r="H59" s="19">
        <f t="shared" si="10"/>
        <v>0</v>
      </c>
      <c r="I59" s="19">
        <f t="shared" si="10"/>
        <v>0</v>
      </c>
      <c r="J59" s="19">
        <f t="shared" si="10"/>
        <v>0</v>
      </c>
      <c r="K59" s="19">
        <f t="shared" si="10"/>
        <v>20575893.434945978</v>
      </c>
      <c r="M59" s="19">
        <f>$C$7*O59-B59*EXP(-$C$10*$C$8)*P59</f>
        <v>217260687.40586099</v>
      </c>
      <c r="N59" s="18"/>
      <c r="O59" s="24">
        <f t="shared" ref="O59:P62" si="13">NORMSDIST(Q59)</f>
        <v>0.99001899358423862</v>
      </c>
      <c r="P59" s="24">
        <f t="shared" si="13"/>
        <v>0.95454959966601227</v>
      </c>
      <c r="Q59" s="24">
        <f>(LN($C$7/B59)+($C$10+$C$9*$C$9/2)*$C$8)/($C$9*SQRT($C$8))</f>
        <v>2.3270611130570198</v>
      </c>
      <c r="R59" s="24">
        <f t="shared" ref="R59:R62" si="14">Q59-$C$9*SQRT($C$8)</f>
        <v>1.6906650099891269</v>
      </c>
      <c r="S59" s="18"/>
      <c r="T59" s="24">
        <f t="shared" si="12"/>
        <v>1.7650657008158377E-2</v>
      </c>
    </row>
    <row r="60" spans="2:20" x14ac:dyDescent="0.25">
      <c r="B60" s="19">
        <f t="shared" si="9"/>
        <v>117500000</v>
      </c>
      <c r="C60" s="19">
        <f t="shared" si="9"/>
        <v>170000000</v>
      </c>
      <c r="E60" s="19">
        <f t="shared" si="11"/>
        <v>40284259.641335726</v>
      </c>
      <c r="G60" s="19">
        <f t="shared" si="10"/>
        <v>3836596.1563176881</v>
      </c>
      <c r="H60" s="19">
        <f t="shared" si="10"/>
        <v>5754894.2344765319</v>
      </c>
      <c r="I60" s="19">
        <f t="shared" si="10"/>
        <v>0</v>
      </c>
      <c r="J60" s="19">
        <f t="shared" si="10"/>
        <v>0</v>
      </c>
      <c r="K60" s="19">
        <f t="shared" si="10"/>
        <v>30692769.250541504</v>
      </c>
      <c r="M60" s="19">
        <f>$C$7*O60-B60*EXP(-$C$10*$C$8)*P60</f>
        <v>194112807.29154676</v>
      </c>
      <c r="N60" s="18"/>
      <c r="O60" s="24">
        <f t="shared" si="13"/>
        <v>0.97236833657608024</v>
      </c>
      <c r="P60" s="24">
        <f t="shared" si="13"/>
        <v>0.89979846297727428</v>
      </c>
      <c r="Q60" s="24">
        <f>(LN($C$7/B60)+($C$10+$C$9*$C$9/2)*$C$8)/($C$9*SQRT($C$8))</f>
        <v>1.9168001425392929</v>
      </c>
      <c r="R60" s="24">
        <f t="shared" si="14"/>
        <v>1.2804040394714</v>
      </c>
      <c r="S60" s="18"/>
      <c r="T60" s="24">
        <f t="shared" si="12"/>
        <v>6.3076519820734478E-2</v>
      </c>
    </row>
    <row r="61" spans="2:20" x14ac:dyDescent="0.25">
      <c r="B61" s="19">
        <f t="shared" si="9"/>
        <v>170000000</v>
      </c>
      <c r="C61" s="19">
        <f t="shared" si="9"/>
        <v>295000000</v>
      </c>
      <c r="E61" s="19">
        <f t="shared" si="11"/>
        <v>67747310.713105604</v>
      </c>
      <c r="G61" s="19">
        <f t="shared" si="10"/>
        <v>5419784.8570484482</v>
      </c>
      <c r="H61" s="19">
        <f t="shared" si="10"/>
        <v>8129677.2855726723</v>
      </c>
      <c r="I61" s="19">
        <f t="shared" si="10"/>
        <v>10839569.714096896</v>
      </c>
      <c r="J61" s="19">
        <f t="shared" si="10"/>
        <v>0</v>
      </c>
      <c r="K61" s="19">
        <f t="shared" si="10"/>
        <v>43358278.856387585</v>
      </c>
      <c r="M61" s="19">
        <f>$C$7*O61-B61*EXP(-$C$10*$C$8)*P61</f>
        <v>153828547.65021104</v>
      </c>
      <c r="N61" s="18"/>
      <c r="O61" s="24">
        <f t="shared" si="13"/>
        <v>0.90929181675534576</v>
      </c>
      <c r="P61" s="24">
        <f t="shared" si="13"/>
        <v>0.75803966730250283</v>
      </c>
      <c r="Q61" s="24">
        <f>(LN($C$7/B61)+($C$10+$C$9*$C$9/2)*$C$8)/($C$9*SQRT($C$8))</f>
        <v>1.3364067339601651</v>
      </c>
      <c r="R61" s="24">
        <f t="shared" si="14"/>
        <v>0.70001063089227222</v>
      </c>
      <c r="S61" s="18"/>
      <c r="T61" s="24">
        <f t="shared" si="12"/>
        <v>0.22835653563191538</v>
      </c>
    </row>
    <row r="62" spans="2:20" x14ac:dyDescent="0.25">
      <c r="B62" s="19">
        <f t="shared" si="9"/>
        <v>295000000</v>
      </c>
      <c r="C62" s="19" t="str">
        <f t="shared" si="9"/>
        <v>and above</v>
      </c>
      <c r="E62" s="19">
        <f t="shared" si="11"/>
        <v>86081236.937105432</v>
      </c>
      <c r="G62" s="19">
        <f t="shared" si="10"/>
        <v>5836016.0635325713</v>
      </c>
      <c r="H62" s="19">
        <f t="shared" si="10"/>
        <v>8754024.0952988584</v>
      </c>
      <c r="I62" s="19">
        <f t="shared" si="10"/>
        <v>11672032.127065143</v>
      </c>
      <c r="J62" s="19">
        <f t="shared" si="10"/>
        <v>13131036.142948287</v>
      </c>
      <c r="K62" s="19">
        <f t="shared" si="10"/>
        <v>46688128.50826057</v>
      </c>
      <c r="M62" s="19">
        <f>$C$7*O62-B62*EXP(-$C$10*$C$8)*P62</f>
        <v>86081236.937105432</v>
      </c>
      <c r="N62" s="18"/>
      <c r="O62" s="24">
        <f t="shared" si="13"/>
        <v>0.68093528112343038</v>
      </c>
      <c r="P62" s="24">
        <f t="shared" si="13"/>
        <v>0.43404686252866798</v>
      </c>
      <c r="Q62" s="24">
        <f>(LN($C$7/B62)+($C$10+$C$9*$C$9/2)*$C$8)/($C$9*SQRT($C$8))</f>
        <v>0.47031576226426103</v>
      </c>
      <c r="R62" s="24">
        <f t="shared" si="14"/>
        <v>-0.16608034080363182</v>
      </c>
      <c r="S62" s="18"/>
      <c r="T62" s="24">
        <f t="shared" si="12"/>
        <v>0.68093528112343038</v>
      </c>
    </row>
    <row r="63" spans="2:20" x14ac:dyDescent="0.25">
      <c r="B63" s="17"/>
      <c r="C63" s="17"/>
      <c r="E63" s="17"/>
      <c r="G63" s="8"/>
      <c r="H63" s="8"/>
      <c r="I63" s="8"/>
      <c r="J63" s="8"/>
      <c r="K63" s="8"/>
      <c r="M63" s="17"/>
      <c r="N63" s="18"/>
      <c r="O63" s="17"/>
      <c r="P63" s="17"/>
      <c r="Q63" s="17"/>
      <c r="R63" s="17"/>
      <c r="S63" s="18"/>
      <c r="T63" s="17"/>
    </row>
    <row r="65" spans="5:13" x14ac:dyDescent="0.25">
      <c r="E65" s="14" t="s">
        <v>54</v>
      </c>
      <c r="G65" s="19">
        <f>SUM(G57:G62)</f>
        <v>19502355.680412818</v>
      </c>
      <c r="H65" s="19">
        <f>SUM(H57:H62)</f>
        <v>29530990.330895051</v>
      </c>
      <c r="I65" s="19">
        <f>SUM(I57:I62)</f>
        <v>40891321.082620673</v>
      </c>
      <c r="J65" s="19">
        <f>SUM(J57:J62)</f>
        <v>54485404.436230212</v>
      </c>
      <c r="K65" s="19">
        <f>SUM(K57:K62)</f>
        <v>155589928.46984124</v>
      </c>
    </row>
    <row r="67" spans="5:13" x14ac:dyDescent="0.25">
      <c r="E67" s="14" t="s">
        <v>55</v>
      </c>
      <c r="G67" s="32">
        <f>G65/G8</f>
        <v>195.02355680412819</v>
      </c>
      <c r="H67" s="32">
        <f>H65/H8</f>
        <v>196.87326887263367</v>
      </c>
      <c r="I67" s="32">
        <f>I65/I8</f>
        <v>204.45660541310338</v>
      </c>
      <c r="J67" s="32">
        <f>J65/J8</f>
        <v>242.15735304991205</v>
      </c>
      <c r="K67" s="32">
        <f>K65/K8</f>
        <v>194.48741058730155</v>
      </c>
      <c r="L67" s="32"/>
      <c r="M67" s="32"/>
    </row>
    <row r="69" spans="5:13" x14ac:dyDescent="0.25">
      <c r="E69" s="14" t="s">
        <v>78</v>
      </c>
      <c r="G69" s="33">
        <f>$C$9*SUMPRODUCT(G44:G49,$T$57:$T$62)*($C$7/G65)</f>
        <v>0.50197167670140619</v>
      </c>
      <c r="H69" s="33">
        <f>$C$9*SUMPRODUCT(H44:H49,$T$57:$T$62)*($C$7/H65)</f>
        <v>0.48497648924273457</v>
      </c>
      <c r="I69" s="33">
        <f>$C$9*SUMPRODUCT(I44:I49,$T$57:$T$62)*($C$7/I65)</f>
        <v>0.42919983357631514</v>
      </c>
      <c r="J69" s="33">
        <f>$C$9*SUMPRODUCT(J44:J49,$T$57:$T$62)*($C$7/J65)</f>
        <v>0.26370283369998759</v>
      </c>
      <c r="K69" s="33">
        <f>$C$9*SUMPRODUCT(K44:K49,$T$57:$T$62)*($C$7/K65)</f>
        <v>0.50755232573902931</v>
      </c>
      <c r="L69" s="33"/>
      <c r="M69" s="33"/>
    </row>
  </sheetData>
  <mergeCells count="4">
    <mergeCell ref="B15:C15"/>
    <mergeCell ref="B28:C28"/>
    <mergeCell ref="B41:C41"/>
    <mergeCell ref="B54:C5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2313-68C0-4CEC-9923-243935CC0A09}">
  <dimension ref="A1:O6"/>
  <sheetViews>
    <sheetView topLeftCell="B1" workbookViewId="0">
      <selection activeCell="E2" activeCellId="1" sqref="G2:G5 E2:E5"/>
    </sheetView>
  </sheetViews>
  <sheetFormatPr defaultRowHeight="15" x14ac:dyDescent="0.25"/>
  <cols>
    <col min="1" max="1" width="16.5703125" bestFit="1" customWidth="1"/>
    <col min="2" max="2" width="11.42578125" customWidth="1"/>
    <col min="3" max="3" width="11.85546875" bestFit="1" customWidth="1"/>
    <col min="4" max="4" width="8.5703125" bestFit="1" customWidth="1"/>
    <col min="5" max="5" width="31.140625" bestFit="1" customWidth="1"/>
    <col min="6" max="6" width="10.7109375" bestFit="1" customWidth="1"/>
    <col min="7" max="7" width="15.85546875" bestFit="1" customWidth="1"/>
    <col min="8" max="8" width="12.28515625" bestFit="1" customWidth="1"/>
    <col min="9" max="9" width="25.140625" bestFit="1" customWidth="1"/>
    <col min="11" max="11" width="31.5703125" bestFit="1" customWidth="1"/>
    <col min="12" max="12" width="17.42578125" bestFit="1" customWidth="1"/>
    <col min="13" max="13" width="12" customWidth="1"/>
    <col min="14" max="14" width="23.28515625" customWidth="1"/>
    <col min="15" max="15" width="15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40</v>
      </c>
      <c r="L1" t="s">
        <v>86</v>
      </c>
      <c r="M1" t="s">
        <v>87</v>
      </c>
      <c r="N1" t="s">
        <v>88</v>
      </c>
      <c r="O1" t="s">
        <v>76</v>
      </c>
    </row>
    <row r="2" spans="1:15" x14ac:dyDescent="0.25">
      <c r="A2" t="s">
        <v>9</v>
      </c>
      <c r="B2" t="s">
        <v>16</v>
      </c>
      <c r="C2" s="3">
        <v>100000</v>
      </c>
      <c r="D2">
        <v>1</v>
      </c>
      <c r="E2" s="29">
        <f>N2</f>
        <v>15.266441273109582</v>
      </c>
      <c r="F2" t="b">
        <v>1</v>
      </c>
      <c r="G2" s="29">
        <f>N2/O2</f>
        <v>1.5266441273109581</v>
      </c>
      <c r="K2" s="1">
        <v>10</v>
      </c>
      <c r="L2" s="4">
        <v>0.08</v>
      </c>
      <c r="M2" s="26">
        <v>43831</v>
      </c>
      <c r="N2" s="1">
        <f>K2*(1+L2)^YEARFRAC(M2,"6/30/2025")</f>
        <v>15.266441273109582</v>
      </c>
      <c r="O2" s="1">
        <v>10</v>
      </c>
    </row>
    <row r="3" spans="1:15" x14ac:dyDescent="0.25">
      <c r="A3" t="s">
        <v>10</v>
      </c>
      <c r="B3" t="s">
        <v>16</v>
      </c>
      <c r="C3" s="3">
        <v>150000</v>
      </c>
      <c r="D3">
        <v>1</v>
      </c>
      <c r="E3" s="29">
        <f t="shared" ref="E3:E5" si="0">N3</f>
        <v>34.01222400000001</v>
      </c>
      <c r="F3" t="b">
        <v>1</v>
      </c>
      <c r="G3" s="29">
        <f t="shared" ref="G3:G5" si="1">N3/O3</f>
        <v>1.3604889600000005</v>
      </c>
      <c r="K3" s="1">
        <v>25</v>
      </c>
      <c r="L3" s="4">
        <v>0.08</v>
      </c>
      <c r="M3" s="26">
        <v>44377</v>
      </c>
      <c r="N3" s="1">
        <f t="shared" ref="N3:N5" si="2">K3*(1+L3)^YEARFRAC(M3,"6/30/2025")</f>
        <v>34.01222400000001</v>
      </c>
      <c r="O3" s="1">
        <v>25</v>
      </c>
    </row>
    <row r="4" spans="1:15" x14ac:dyDescent="0.25">
      <c r="A4" t="s">
        <v>11</v>
      </c>
      <c r="B4" t="s">
        <v>16</v>
      </c>
      <c r="C4" s="3">
        <v>200000</v>
      </c>
      <c r="D4">
        <v>1</v>
      </c>
      <c r="E4" s="29">
        <f t="shared" si="0"/>
        <v>61.785324495446325</v>
      </c>
      <c r="F4" t="b">
        <v>1</v>
      </c>
      <c r="G4" s="29">
        <f t="shared" si="1"/>
        <v>1.2357064899089265</v>
      </c>
      <c r="K4" s="1">
        <v>50</v>
      </c>
      <c r="L4" s="4">
        <v>0.08</v>
      </c>
      <c r="M4" s="26">
        <v>44834</v>
      </c>
      <c r="N4" s="1">
        <f t="shared" si="2"/>
        <v>61.785324495446325</v>
      </c>
      <c r="O4" s="1">
        <v>50</v>
      </c>
    </row>
    <row r="5" spans="1:15" x14ac:dyDescent="0.25">
      <c r="A5" t="s">
        <v>12</v>
      </c>
      <c r="B5" t="s">
        <v>16</v>
      </c>
      <c r="C5" s="3">
        <v>225000</v>
      </c>
      <c r="D5">
        <v>1</v>
      </c>
      <c r="E5" s="29">
        <f t="shared" si="0"/>
        <v>103.92304845413265</v>
      </c>
      <c r="F5" t="b">
        <v>1</v>
      </c>
      <c r="G5" s="29">
        <f t="shared" si="1"/>
        <v>1.0392304845413265</v>
      </c>
      <c r="K5" s="1">
        <v>100</v>
      </c>
      <c r="L5" s="4">
        <v>0.08</v>
      </c>
      <c r="M5" s="26">
        <v>45657</v>
      </c>
      <c r="N5" s="1">
        <f t="shared" si="2"/>
        <v>103.92304845413265</v>
      </c>
      <c r="O5" s="1">
        <v>100</v>
      </c>
    </row>
    <row r="6" spans="1:15" x14ac:dyDescent="0.25">
      <c r="A6" t="s">
        <v>15</v>
      </c>
      <c r="B6" t="s">
        <v>15</v>
      </c>
      <c r="C6" s="3">
        <v>800000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D7851-7C70-428F-B1AA-9D18305770AA}">
  <dimension ref="B5:T72"/>
  <sheetViews>
    <sheetView showGridLines="0" zoomScale="85" zoomScaleNormal="85" workbookViewId="0">
      <selection activeCell="G70" sqref="G70:M72"/>
    </sheetView>
  </sheetViews>
  <sheetFormatPr defaultRowHeight="15" x14ac:dyDescent="0.25"/>
  <cols>
    <col min="2" max="3" width="17.140625" customWidth="1"/>
    <col min="4" max="4" width="2.85546875" customWidth="1"/>
    <col min="5" max="5" width="17.140625" customWidth="1"/>
    <col min="6" max="6" width="2.85546875" customWidth="1"/>
    <col min="7" max="11" width="17.140625" customWidth="1"/>
    <col min="13" max="13" width="17.140625" customWidth="1"/>
  </cols>
  <sheetData>
    <row r="5" spans="2:12" x14ac:dyDescent="0.25">
      <c r="B5" s="9" t="s">
        <v>33</v>
      </c>
      <c r="C5" s="9"/>
      <c r="G5" s="9" t="s">
        <v>9</v>
      </c>
      <c r="H5" s="9" t="s">
        <v>10</v>
      </c>
      <c r="I5" s="9" t="s">
        <v>11</v>
      </c>
      <c r="J5" s="9" t="s">
        <v>12</v>
      </c>
      <c r="K5" s="9" t="s">
        <v>15</v>
      </c>
    </row>
    <row r="6" spans="2:12" x14ac:dyDescent="0.25">
      <c r="B6" s="6"/>
      <c r="C6" s="6"/>
      <c r="G6" s="6"/>
      <c r="H6" s="6"/>
      <c r="I6" s="6"/>
      <c r="J6" s="6"/>
      <c r="K6" s="6"/>
    </row>
    <row r="7" spans="2:12" x14ac:dyDescent="0.25">
      <c r="B7" t="s">
        <v>34</v>
      </c>
      <c r="C7" s="7">
        <v>120000000</v>
      </c>
      <c r="G7" s="11">
        <f>'5.a Capital Structure'!D2</f>
        <v>1</v>
      </c>
      <c r="H7" s="11">
        <f>'5.a Capital Structure'!D3</f>
        <v>1</v>
      </c>
      <c r="I7" s="11">
        <f>'5.a Capital Structure'!D4</f>
        <v>1</v>
      </c>
      <c r="J7" s="11">
        <f>'5.a Capital Structure'!D5</f>
        <v>1</v>
      </c>
      <c r="K7" s="11"/>
      <c r="L7" s="11" t="s">
        <v>37</v>
      </c>
    </row>
    <row r="8" spans="2:12" x14ac:dyDescent="0.25">
      <c r="B8" t="s">
        <v>47</v>
      </c>
      <c r="C8">
        <v>2</v>
      </c>
      <c r="G8" s="12">
        <f>'5.a Capital Structure'!C2</f>
        <v>100000</v>
      </c>
      <c r="H8" s="12">
        <f>'5.a Capital Structure'!C3</f>
        <v>150000</v>
      </c>
      <c r="I8" s="12">
        <f>'5.a Capital Structure'!C4</f>
        <v>200000</v>
      </c>
      <c r="J8" s="12">
        <f>'5.a Capital Structure'!C5</f>
        <v>225000</v>
      </c>
      <c r="K8" s="12">
        <f>'5.a Capital Structure'!C6</f>
        <v>800000</v>
      </c>
      <c r="L8" s="11" t="s">
        <v>38</v>
      </c>
    </row>
    <row r="9" spans="2:12" x14ac:dyDescent="0.25">
      <c r="B9" t="s">
        <v>35</v>
      </c>
      <c r="C9" s="23">
        <v>0.45</v>
      </c>
      <c r="G9" s="13">
        <f>'5.a Capital Structure'!E2</f>
        <v>15.266441273109582</v>
      </c>
      <c r="H9" s="13">
        <f>'5.a Capital Structure'!E3</f>
        <v>34.01222400000001</v>
      </c>
      <c r="I9" s="13">
        <f>'5.a Capital Structure'!E4</f>
        <v>61.785324495446325</v>
      </c>
      <c r="J9" s="13">
        <f>'5.a Capital Structure'!E5</f>
        <v>103.92304845413265</v>
      </c>
      <c r="K9" s="11"/>
      <c r="L9" s="11" t="s">
        <v>40</v>
      </c>
    </row>
    <row r="10" spans="2:12" x14ac:dyDescent="0.25">
      <c r="B10" t="s">
        <v>36</v>
      </c>
      <c r="C10" s="23">
        <v>0.04</v>
      </c>
      <c r="G10" s="13">
        <f>G8*G9</f>
        <v>1526644.1273109582</v>
      </c>
      <c r="H10" s="13">
        <f t="shared" ref="H10:J10" si="0">H8*H9</f>
        <v>5101833.6000000015</v>
      </c>
      <c r="I10" s="13">
        <f t="shared" si="0"/>
        <v>12357064.899089266</v>
      </c>
      <c r="J10" s="13">
        <f t="shared" si="0"/>
        <v>23382685.902179848</v>
      </c>
      <c r="K10" s="11"/>
      <c r="L10" s="11" t="s">
        <v>39</v>
      </c>
    </row>
    <row r="11" spans="2:12" x14ac:dyDescent="0.25">
      <c r="B11" s="8"/>
      <c r="C11" s="8"/>
      <c r="G11" s="27">
        <f>'5.a Capital Structure'!G2</f>
        <v>1.5266441273109581</v>
      </c>
      <c r="H11" s="27">
        <f>'5.a Capital Structure'!G3</f>
        <v>1.3604889600000005</v>
      </c>
      <c r="I11" s="27">
        <f>'5.a Capital Structure'!G4</f>
        <v>1.2357064899089265</v>
      </c>
      <c r="J11" s="27">
        <f>'5.a Capital Structure'!G5</f>
        <v>1.0392304845413265</v>
      </c>
      <c r="L11" s="11" t="s">
        <v>89</v>
      </c>
    </row>
    <row r="12" spans="2:12" x14ac:dyDescent="0.25">
      <c r="C12" s="23"/>
      <c r="G12" s="28">
        <f>G9/G11</f>
        <v>10</v>
      </c>
      <c r="H12" s="28">
        <f t="shared" ref="H12:J12" si="1">H9/H11</f>
        <v>24.999999999999996</v>
      </c>
      <c r="I12" s="28">
        <f t="shared" si="1"/>
        <v>50</v>
      </c>
      <c r="J12" s="28">
        <f t="shared" si="1"/>
        <v>100</v>
      </c>
      <c r="K12" s="11"/>
      <c r="L12" s="11" t="s">
        <v>62</v>
      </c>
    </row>
    <row r="13" spans="2:12" x14ac:dyDescent="0.25">
      <c r="C13" s="23"/>
      <c r="G13" s="10"/>
      <c r="H13" s="10"/>
      <c r="I13" s="10"/>
      <c r="J13" s="10"/>
      <c r="K13" s="8"/>
      <c r="L13" s="11"/>
    </row>
    <row r="18" spans="2:11" x14ac:dyDescent="0.25">
      <c r="B18" s="31" t="s">
        <v>41</v>
      </c>
      <c r="C18" s="31"/>
      <c r="E18" s="16"/>
      <c r="G18" s="16"/>
      <c r="H18" s="16"/>
      <c r="I18" s="16"/>
      <c r="J18" s="16"/>
      <c r="K18" s="16"/>
    </row>
    <row r="19" spans="2:11" x14ac:dyDescent="0.25">
      <c r="B19" s="17" t="s">
        <v>17</v>
      </c>
      <c r="C19" s="17" t="s">
        <v>18</v>
      </c>
      <c r="E19" s="17"/>
      <c r="G19" s="21" t="str">
        <f>G5</f>
        <v>Series A Preferred</v>
      </c>
      <c r="H19" s="21" t="str">
        <f>H5</f>
        <v>Series B Preferred</v>
      </c>
      <c r="I19" s="21" t="str">
        <f>I5</f>
        <v>Series C Preferred</v>
      </c>
      <c r="J19" s="21" t="str">
        <f>J5</f>
        <v>Series D Preferred</v>
      </c>
      <c r="K19" s="21" t="str">
        <f>K5</f>
        <v>Common</v>
      </c>
    </row>
    <row r="20" spans="2:11" x14ac:dyDescent="0.25">
      <c r="B20" s="18"/>
      <c r="C20" s="18"/>
      <c r="E20" s="18"/>
      <c r="G20" s="18"/>
      <c r="H20" s="18"/>
      <c r="I20" s="18"/>
      <c r="J20" s="18"/>
      <c r="K20" s="18"/>
    </row>
    <row r="21" spans="2:11" x14ac:dyDescent="0.25">
      <c r="B21" s="19">
        <v>0</v>
      </c>
      <c r="C21" s="19">
        <f>B21+SUM(G21:J21)</f>
        <v>42368228.52858007</v>
      </c>
      <c r="E21" s="18"/>
      <c r="G21" s="19">
        <f>G10</f>
        <v>1526644.1273109582</v>
      </c>
      <c r="H21" s="19">
        <f t="shared" ref="H21:J21" si="2">H10</f>
        <v>5101833.6000000015</v>
      </c>
      <c r="I21" s="19">
        <f t="shared" si="2"/>
        <v>12357064.899089266</v>
      </c>
      <c r="J21" s="19">
        <f t="shared" si="2"/>
        <v>23382685.902179848</v>
      </c>
      <c r="K21" s="18"/>
    </row>
    <row r="22" spans="2:11" x14ac:dyDescent="0.25">
      <c r="B22" s="19">
        <f>C21</f>
        <v>42368228.52858007</v>
      </c>
      <c r="C22" s="19">
        <f t="shared" ref="C22:C25" si="3">B22+(E22-E21)*SUM(G22:K22)</f>
        <v>50368228.52858007</v>
      </c>
      <c r="E22" s="19">
        <f>G12</f>
        <v>10</v>
      </c>
      <c r="G22" s="20"/>
      <c r="H22" s="20"/>
      <c r="I22" s="20"/>
      <c r="J22" s="20"/>
      <c r="K22" s="20">
        <f t="shared" ref="G22:K26" si="4">K$8</f>
        <v>800000</v>
      </c>
    </row>
    <row r="23" spans="2:11" x14ac:dyDescent="0.25">
      <c r="B23" s="19">
        <f t="shared" ref="B23:B26" si="5">C22</f>
        <v>50368228.52858007</v>
      </c>
      <c r="C23" s="19">
        <f t="shared" si="3"/>
        <v>63868228.52858007</v>
      </c>
      <c r="E23" s="19">
        <f>H12</f>
        <v>24.999999999999996</v>
      </c>
      <c r="G23" s="20">
        <f t="shared" si="4"/>
        <v>100000</v>
      </c>
      <c r="H23" s="20"/>
      <c r="I23" s="20"/>
      <c r="J23" s="20"/>
      <c r="K23" s="20">
        <f t="shared" si="4"/>
        <v>800000</v>
      </c>
    </row>
    <row r="24" spans="2:11" x14ac:dyDescent="0.25">
      <c r="B24" s="19">
        <f t="shared" si="5"/>
        <v>63868228.52858007</v>
      </c>
      <c r="C24" s="19">
        <f t="shared" si="3"/>
        <v>90118228.52858007</v>
      </c>
      <c r="E24" s="19">
        <f>I12</f>
        <v>50</v>
      </c>
      <c r="G24" s="20">
        <f t="shared" si="4"/>
        <v>100000</v>
      </c>
      <c r="H24" s="20">
        <f t="shared" si="4"/>
        <v>150000</v>
      </c>
      <c r="I24" s="20"/>
      <c r="J24" s="20"/>
      <c r="K24" s="20">
        <f t="shared" si="4"/>
        <v>800000</v>
      </c>
    </row>
    <row r="25" spans="2:11" x14ac:dyDescent="0.25">
      <c r="B25" s="19">
        <f t="shared" si="5"/>
        <v>90118228.52858007</v>
      </c>
      <c r="C25" s="19">
        <f t="shared" si="3"/>
        <v>152618228.52858007</v>
      </c>
      <c r="E25" s="19">
        <f>J12</f>
        <v>100</v>
      </c>
      <c r="G25" s="20">
        <f t="shared" si="4"/>
        <v>100000</v>
      </c>
      <c r="H25" s="20">
        <f t="shared" si="4"/>
        <v>150000</v>
      </c>
      <c r="I25" s="20">
        <f t="shared" si="4"/>
        <v>200000</v>
      </c>
      <c r="J25" s="20"/>
      <c r="K25" s="20">
        <f t="shared" si="4"/>
        <v>800000</v>
      </c>
    </row>
    <row r="26" spans="2:11" x14ac:dyDescent="0.25">
      <c r="B26" s="19">
        <f t="shared" si="5"/>
        <v>152618228.52858007</v>
      </c>
      <c r="C26" s="19" t="s">
        <v>19</v>
      </c>
      <c r="E26" s="19"/>
      <c r="G26" s="20">
        <f t="shared" si="4"/>
        <v>100000</v>
      </c>
      <c r="H26" s="20">
        <f t="shared" si="4"/>
        <v>150000</v>
      </c>
      <c r="I26" s="20">
        <f t="shared" si="4"/>
        <v>200000</v>
      </c>
      <c r="J26" s="20">
        <f t="shared" si="4"/>
        <v>225000</v>
      </c>
      <c r="K26" s="20">
        <f t="shared" si="4"/>
        <v>800000</v>
      </c>
    </row>
    <row r="27" spans="2:11" x14ac:dyDescent="0.25">
      <c r="B27" s="17"/>
      <c r="C27" s="17"/>
      <c r="E27" s="17"/>
      <c r="G27" s="17"/>
      <c r="H27" s="17"/>
      <c r="I27" s="17"/>
      <c r="J27" s="17"/>
      <c r="K27" s="17"/>
    </row>
    <row r="31" spans="2:11" x14ac:dyDescent="0.25">
      <c r="B31" s="31" t="s">
        <v>41</v>
      </c>
      <c r="C31" s="31"/>
      <c r="D31" s="18"/>
      <c r="E31" s="15" t="s">
        <v>42</v>
      </c>
      <c r="G31" s="6"/>
      <c r="H31" s="6"/>
      <c r="I31" s="6"/>
      <c r="J31" s="6"/>
      <c r="K31" s="6"/>
    </row>
    <row r="32" spans="2:11" x14ac:dyDescent="0.25">
      <c r="B32" s="17" t="str">
        <f>B19</f>
        <v xml:space="preserve">From </v>
      </c>
      <c r="C32" s="17" t="str">
        <f>C19</f>
        <v>To</v>
      </c>
      <c r="D32" s="18"/>
      <c r="E32" s="21" t="s">
        <v>43</v>
      </c>
      <c r="G32" s="8"/>
      <c r="H32" s="8"/>
      <c r="I32" s="8"/>
      <c r="J32" s="8"/>
      <c r="K32" s="8"/>
    </row>
    <row r="33" spans="2:11" x14ac:dyDescent="0.25">
      <c r="B33" s="18"/>
      <c r="C33" s="18"/>
      <c r="D33" s="18"/>
      <c r="E33" s="18"/>
    </row>
    <row r="34" spans="2:11" x14ac:dyDescent="0.25">
      <c r="B34" s="18">
        <f t="shared" ref="B34:C39" si="6">B21</f>
        <v>0</v>
      </c>
      <c r="C34" s="19">
        <f t="shared" si="6"/>
        <v>42368228.52858007</v>
      </c>
      <c r="D34" s="18"/>
      <c r="E34" s="19">
        <f>C34-B34</f>
        <v>42368228.52858007</v>
      </c>
      <c r="G34" t="s">
        <v>63</v>
      </c>
    </row>
    <row r="35" spans="2:11" x14ac:dyDescent="0.25">
      <c r="B35" s="19">
        <f t="shared" si="6"/>
        <v>42368228.52858007</v>
      </c>
      <c r="C35" s="19">
        <f t="shared" si="6"/>
        <v>50368228.52858007</v>
      </c>
      <c r="D35" s="18"/>
      <c r="E35" s="19">
        <f t="shared" ref="E35:E38" si="7">C35-B35</f>
        <v>8000000</v>
      </c>
      <c r="G35" t="s">
        <v>80</v>
      </c>
    </row>
    <row r="36" spans="2:11" x14ac:dyDescent="0.25">
      <c r="B36" s="19">
        <f t="shared" si="6"/>
        <v>50368228.52858007</v>
      </c>
      <c r="C36" s="19">
        <f t="shared" si="6"/>
        <v>63868228.52858007</v>
      </c>
      <c r="D36" s="18"/>
      <c r="E36" s="19">
        <f t="shared" si="7"/>
        <v>13500000</v>
      </c>
      <c r="G36" t="s">
        <v>81</v>
      </c>
      <c r="J36" s="7"/>
    </row>
    <row r="37" spans="2:11" x14ac:dyDescent="0.25">
      <c r="B37" s="19">
        <f t="shared" si="6"/>
        <v>63868228.52858007</v>
      </c>
      <c r="C37" s="19">
        <f t="shared" si="6"/>
        <v>90118228.52858007</v>
      </c>
      <c r="D37" s="18"/>
      <c r="E37" s="19">
        <f t="shared" si="7"/>
        <v>26250000</v>
      </c>
      <c r="G37" t="s">
        <v>82</v>
      </c>
      <c r="I37" s="7"/>
    </row>
    <row r="38" spans="2:11" x14ac:dyDescent="0.25">
      <c r="B38" s="19">
        <f t="shared" si="6"/>
        <v>90118228.52858007</v>
      </c>
      <c r="C38" s="19">
        <f t="shared" si="6"/>
        <v>152618228.52858007</v>
      </c>
      <c r="D38" s="18"/>
      <c r="E38" s="19">
        <f t="shared" si="7"/>
        <v>62500000</v>
      </c>
      <c r="G38" t="s">
        <v>83</v>
      </c>
      <c r="H38" s="7"/>
    </row>
    <row r="39" spans="2:11" x14ac:dyDescent="0.25">
      <c r="B39" s="19">
        <f t="shared" si="6"/>
        <v>152618228.52858007</v>
      </c>
      <c r="C39" s="19" t="str">
        <f t="shared" si="6"/>
        <v>and above</v>
      </c>
      <c r="D39" s="18"/>
      <c r="E39" s="19"/>
      <c r="G39" s="7" t="s">
        <v>84</v>
      </c>
    </row>
    <row r="40" spans="2:11" x14ac:dyDescent="0.25">
      <c r="B40" s="17"/>
      <c r="C40" s="17"/>
      <c r="D40" s="18"/>
      <c r="E40" s="17"/>
      <c r="G40" s="8"/>
      <c r="H40" s="8"/>
      <c r="I40" s="8"/>
      <c r="J40" s="8"/>
      <c r="K40" s="8"/>
    </row>
    <row r="44" spans="2:11" x14ac:dyDescent="0.25">
      <c r="B44" s="31" t="s">
        <v>41</v>
      </c>
      <c r="C44" s="31"/>
      <c r="E44" s="15" t="s">
        <v>44</v>
      </c>
      <c r="G44" s="16"/>
      <c r="H44" s="16"/>
      <c r="I44" s="16"/>
      <c r="J44" s="16"/>
      <c r="K44" s="16"/>
    </row>
    <row r="45" spans="2:11" x14ac:dyDescent="0.25">
      <c r="B45" s="17" t="str">
        <f>B32</f>
        <v xml:space="preserve">From </v>
      </c>
      <c r="C45" s="17" t="str">
        <f>C32</f>
        <v>To</v>
      </c>
      <c r="E45" s="21" t="s">
        <v>45</v>
      </c>
      <c r="G45" s="21" t="str">
        <f>G19</f>
        <v>Series A Preferred</v>
      </c>
      <c r="H45" s="21" t="str">
        <f>H19</f>
        <v>Series B Preferred</v>
      </c>
      <c r="I45" s="21" t="str">
        <f>I19</f>
        <v>Series C Preferred</v>
      </c>
      <c r="J45" s="21" t="str">
        <f>J19</f>
        <v>Series D Preferred</v>
      </c>
      <c r="K45" s="21" t="str">
        <f>K19</f>
        <v>Common</v>
      </c>
    </row>
    <row r="46" spans="2:11" x14ac:dyDescent="0.25">
      <c r="B46" s="18"/>
      <c r="C46" s="18"/>
      <c r="E46" s="18"/>
      <c r="G46" s="18"/>
      <c r="H46" s="18"/>
      <c r="I46" s="18"/>
      <c r="J46" s="18"/>
      <c r="K46" s="18"/>
    </row>
    <row r="47" spans="2:11" x14ac:dyDescent="0.25">
      <c r="B47" s="18">
        <f t="shared" ref="B47:C52" si="8">B34</f>
        <v>0</v>
      </c>
      <c r="C47" s="19">
        <f t="shared" si="8"/>
        <v>42368228.52858007</v>
      </c>
      <c r="E47" s="22">
        <f t="shared" ref="E47:E52" si="9">SUM(G47:K47)</f>
        <v>1</v>
      </c>
      <c r="G47" s="22">
        <f t="shared" ref="G47:K52" si="10">G21/SUM($G21:$K21)</f>
        <v>3.6032758043710499E-2</v>
      </c>
      <c r="H47" s="22">
        <f t="shared" si="10"/>
        <v>0.12041649550106844</v>
      </c>
      <c r="I47" s="22">
        <f t="shared" si="10"/>
        <v>0.29165875771165739</v>
      </c>
      <c r="J47" s="22">
        <f t="shared" si="10"/>
        <v>0.55189198874356371</v>
      </c>
      <c r="K47" s="22">
        <f t="shared" si="10"/>
        <v>0</v>
      </c>
    </row>
    <row r="48" spans="2:11" x14ac:dyDescent="0.25">
      <c r="B48" s="19">
        <f t="shared" si="8"/>
        <v>42368228.52858007</v>
      </c>
      <c r="C48" s="19">
        <f t="shared" si="8"/>
        <v>50368228.52858007</v>
      </c>
      <c r="E48" s="22">
        <f t="shared" si="9"/>
        <v>1</v>
      </c>
      <c r="G48" s="22">
        <f t="shared" si="10"/>
        <v>0</v>
      </c>
      <c r="H48" s="22">
        <f t="shared" si="10"/>
        <v>0</v>
      </c>
      <c r="I48" s="22">
        <f t="shared" si="10"/>
        <v>0</v>
      </c>
      <c r="J48" s="22">
        <f t="shared" si="10"/>
        <v>0</v>
      </c>
      <c r="K48" s="22">
        <f t="shared" si="10"/>
        <v>1</v>
      </c>
    </row>
    <row r="49" spans="2:20" x14ac:dyDescent="0.25">
      <c r="B49" s="19">
        <f t="shared" si="8"/>
        <v>50368228.52858007</v>
      </c>
      <c r="C49" s="19">
        <f t="shared" si="8"/>
        <v>63868228.52858007</v>
      </c>
      <c r="E49" s="22">
        <f t="shared" si="9"/>
        <v>1</v>
      </c>
      <c r="G49" s="22">
        <f t="shared" si="10"/>
        <v>0.1111111111111111</v>
      </c>
      <c r="H49" s="22">
        <f t="shared" si="10"/>
        <v>0</v>
      </c>
      <c r="I49" s="22">
        <f t="shared" si="10"/>
        <v>0</v>
      </c>
      <c r="J49" s="22">
        <f t="shared" si="10"/>
        <v>0</v>
      </c>
      <c r="K49" s="22">
        <f t="shared" si="10"/>
        <v>0.88888888888888884</v>
      </c>
    </row>
    <row r="50" spans="2:20" x14ac:dyDescent="0.25">
      <c r="B50" s="19">
        <f t="shared" si="8"/>
        <v>63868228.52858007</v>
      </c>
      <c r="C50" s="19">
        <f t="shared" si="8"/>
        <v>90118228.52858007</v>
      </c>
      <c r="E50" s="22">
        <f t="shared" si="9"/>
        <v>1</v>
      </c>
      <c r="G50" s="22">
        <f t="shared" si="10"/>
        <v>9.5238095238095233E-2</v>
      </c>
      <c r="H50" s="22">
        <f t="shared" si="10"/>
        <v>0.14285714285714285</v>
      </c>
      <c r="I50" s="22">
        <f t="shared" si="10"/>
        <v>0</v>
      </c>
      <c r="J50" s="22">
        <f t="shared" si="10"/>
        <v>0</v>
      </c>
      <c r="K50" s="22">
        <f t="shared" si="10"/>
        <v>0.76190476190476186</v>
      </c>
    </row>
    <row r="51" spans="2:20" x14ac:dyDescent="0.25">
      <c r="B51" s="19">
        <f t="shared" si="8"/>
        <v>90118228.52858007</v>
      </c>
      <c r="C51" s="19">
        <f t="shared" si="8"/>
        <v>152618228.52858007</v>
      </c>
      <c r="E51" s="22">
        <f t="shared" si="9"/>
        <v>1</v>
      </c>
      <c r="G51" s="22">
        <f t="shared" si="10"/>
        <v>0.08</v>
      </c>
      <c r="H51" s="22">
        <f t="shared" si="10"/>
        <v>0.12</v>
      </c>
      <c r="I51" s="22">
        <f t="shared" si="10"/>
        <v>0.16</v>
      </c>
      <c r="J51" s="22">
        <f t="shared" si="10"/>
        <v>0</v>
      </c>
      <c r="K51" s="22">
        <f t="shared" si="10"/>
        <v>0.64</v>
      </c>
    </row>
    <row r="52" spans="2:20" x14ac:dyDescent="0.25">
      <c r="B52" s="19">
        <f t="shared" si="8"/>
        <v>152618228.52858007</v>
      </c>
      <c r="C52" s="19" t="str">
        <f t="shared" si="8"/>
        <v>and above</v>
      </c>
      <c r="E52" s="22">
        <f t="shared" si="9"/>
        <v>1</v>
      </c>
      <c r="G52" s="22">
        <f t="shared" si="10"/>
        <v>6.7796610169491525E-2</v>
      </c>
      <c r="H52" s="22">
        <f t="shared" si="10"/>
        <v>0.10169491525423729</v>
      </c>
      <c r="I52" s="22">
        <f t="shared" si="10"/>
        <v>0.13559322033898305</v>
      </c>
      <c r="J52" s="22">
        <f t="shared" si="10"/>
        <v>0.15254237288135594</v>
      </c>
      <c r="K52" s="22">
        <f t="shared" si="10"/>
        <v>0.5423728813559322</v>
      </c>
    </row>
    <row r="53" spans="2:20" x14ac:dyDescent="0.25">
      <c r="B53" s="17"/>
      <c r="C53" s="17"/>
      <c r="E53" s="17"/>
      <c r="G53" s="17"/>
      <c r="H53" s="17"/>
      <c r="I53" s="17"/>
      <c r="J53" s="17"/>
      <c r="K53" s="17"/>
    </row>
    <row r="54" spans="2:20" x14ac:dyDescent="0.25">
      <c r="G54" s="18"/>
      <c r="H54" s="18"/>
      <c r="I54" s="18"/>
      <c r="J54" s="18"/>
      <c r="K54" s="18"/>
    </row>
    <row r="55" spans="2:20" x14ac:dyDescent="0.25">
      <c r="G55" s="18"/>
      <c r="H55" s="18"/>
      <c r="I55" s="18"/>
      <c r="J55" s="18"/>
      <c r="K55" s="18"/>
    </row>
    <row r="56" spans="2:20" x14ac:dyDescent="0.25">
      <c r="G56" s="18"/>
      <c r="H56" s="18"/>
      <c r="I56" s="18"/>
      <c r="J56" s="18"/>
      <c r="K56" s="18"/>
    </row>
    <row r="57" spans="2:20" x14ac:dyDescent="0.25">
      <c r="B57" s="31" t="str">
        <f>B44</f>
        <v>Breakpoints</v>
      </c>
      <c r="C57" s="31">
        <f>C44</f>
        <v>0</v>
      </c>
      <c r="E57" s="15" t="s">
        <v>46</v>
      </c>
      <c r="G57" s="16"/>
      <c r="H57" s="16"/>
      <c r="I57" s="16"/>
      <c r="J57" s="16"/>
      <c r="K57" s="16"/>
      <c r="M57" s="16" t="s">
        <v>52</v>
      </c>
      <c r="N57" s="18"/>
      <c r="O57" s="16"/>
      <c r="P57" s="16"/>
      <c r="Q57" s="16"/>
      <c r="R57" s="16"/>
      <c r="S57" s="18"/>
      <c r="T57" s="16" t="s">
        <v>42</v>
      </c>
    </row>
    <row r="58" spans="2:20" x14ac:dyDescent="0.25">
      <c r="B58" s="17" t="str">
        <f>B45</f>
        <v xml:space="preserve">From </v>
      </c>
      <c r="C58" s="17" t="str">
        <f>C45</f>
        <v>To</v>
      </c>
      <c r="E58" s="17"/>
      <c r="G58" s="21" t="str">
        <f>G5</f>
        <v>Series A Preferred</v>
      </c>
      <c r="H58" s="21" t="str">
        <f>H5</f>
        <v>Series B Preferred</v>
      </c>
      <c r="I58" s="21" t="str">
        <f>I5</f>
        <v>Series C Preferred</v>
      </c>
      <c r="J58" s="21" t="str">
        <f>J5</f>
        <v>Series D Preferred</v>
      </c>
      <c r="K58" s="21" t="str">
        <f>K5</f>
        <v>Common</v>
      </c>
      <c r="M58" s="17" t="s">
        <v>53</v>
      </c>
      <c r="N58" s="18"/>
      <c r="O58" s="17" t="s">
        <v>48</v>
      </c>
      <c r="P58" s="17" t="s">
        <v>49</v>
      </c>
      <c r="Q58" s="17" t="s">
        <v>50</v>
      </c>
      <c r="R58" s="17" t="s">
        <v>51</v>
      </c>
      <c r="S58" s="18"/>
      <c r="T58" s="17" t="s">
        <v>48</v>
      </c>
    </row>
    <row r="59" spans="2:20" x14ac:dyDescent="0.25">
      <c r="B59" s="18"/>
      <c r="C59" s="18"/>
      <c r="E59" s="16"/>
      <c r="G59" s="6"/>
      <c r="H59" s="6"/>
      <c r="I59" s="6"/>
      <c r="J59" s="6"/>
      <c r="K59" s="6"/>
      <c r="M59" s="16"/>
      <c r="N59" s="18"/>
      <c r="O59" s="16"/>
      <c r="P59" s="16"/>
      <c r="Q59" s="16"/>
      <c r="R59" s="16"/>
      <c r="S59" s="18"/>
      <c r="T59" s="16"/>
    </row>
    <row r="60" spans="2:20" x14ac:dyDescent="0.25">
      <c r="B60" s="18">
        <f t="shared" ref="B60:C65" si="11">B47</f>
        <v>0</v>
      </c>
      <c r="C60" s="19">
        <f t="shared" si="11"/>
        <v>42368228.52858007</v>
      </c>
      <c r="E60" s="19">
        <f>M60-M61</f>
        <v>38451506.257283211</v>
      </c>
      <c r="G60" s="19">
        <f t="shared" ref="G60:K65" si="12">$E60*G47</f>
        <v>1385513.8213849061</v>
      </c>
      <c r="H60" s="19">
        <f t="shared" si="12"/>
        <v>4630195.6302394485</v>
      </c>
      <c r="I60" s="19">
        <f t="shared" si="12"/>
        <v>11214718.547141243</v>
      </c>
      <c r="J60" s="19">
        <f t="shared" si="12"/>
        <v>21221078.258517615</v>
      </c>
      <c r="K60" s="19">
        <f t="shared" si="12"/>
        <v>0</v>
      </c>
      <c r="M60" s="19">
        <f>C7</f>
        <v>120000000</v>
      </c>
      <c r="N60" s="18"/>
      <c r="O60" s="18">
        <v>1</v>
      </c>
      <c r="P60" s="18"/>
      <c r="Q60" s="18"/>
      <c r="R60" s="18"/>
      <c r="S60" s="18"/>
      <c r="T60" s="24">
        <f>O60-O61</f>
        <v>1.8770760168765555E-2</v>
      </c>
    </row>
    <row r="61" spans="2:20" x14ac:dyDescent="0.25">
      <c r="B61" s="19">
        <f t="shared" si="11"/>
        <v>42368228.52858007</v>
      </c>
      <c r="C61" s="19">
        <f t="shared" si="11"/>
        <v>50368228.52858007</v>
      </c>
      <c r="E61" s="19">
        <f t="shared" ref="E61:E65" si="13">M61-M62</f>
        <v>6669603.6914023757</v>
      </c>
      <c r="G61" s="19">
        <f t="shared" si="12"/>
        <v>0</v>
      </c>
      <c r="H61" s="19">
        <f t="shared" si="12"/>
        <v>0</v>
      </c>
      <c r="I61" s="19">
        <f t="shared" si="12"/>
        <v>0</v>
      </c>
      <c r="J61" s="19">
        <f t="shared" si="12"/>
        <v>0</v>
      </c>
      <c r="K61" s="19">
        <f t="shared" si="12"/>
        <v>6669603.6914023757</v>
      </c>
      <c r="M61" s="19">
        <f>$C$7*O61-B61*EXP(-$C$10*$C$8)*P61</f>
        <v>81548493.742716789</v>
      </c>
      <c r="N61" s="18"/>
      <c r="O61" s="24">
        <f>NORMSDIST(Q61)</f>
        <v>0.98122923983123445</v>
      </c>
      <c r="P61" s="24">
        <f>NORMSDIST(R61)</f>
        <v>0.92555025815476633</v>
      </c>
      <c r="Q61" s="24">
        <f>(LN($C$7/B61)+($C$10+$C$9*$C$9/2)*$C$8)/($C$9*SQRT($C$8))</f>
        <v>2.0798257283561306</v>
      </c>
      <c r="R61" s="24">
        <f>Q61-$C$9*SQRT($C$8)</f>
        <v>1.4434296252882377</v>
      </c>
      <c r="S61" s="18"/>
      <c r="T61" s="24">
        <f t="shared" ref="T61:T65" si="14">O61-O62</f>
        <v>1.6529188857453581E-2</v>
      </c>
    </row>
    <row r="62" spans="2:20" x14ac:dyDescent="0.25">
      <c r="B62" s="19">
        <f t="shared" si="11"/>
        <v>50368228.52858007</v>
      </c>
      <c r="C62" s="19">
        <f t="shared" si="11"/>
        <v>63868228.52858007</v>
      </c>
      <c r="E62" s="19">
        <f t="shared" si="13"/>
        <v>10399534.024668917</v>
      </c>
      <c r="G62" s="19">
        <f t="shared" si="12"/>
        <v>1155503.7805187686</v>
      </c>
      <c r="H62" s="19">
        <f t="shared" si="12"/>
        <v>0</v>
      </c>
      <c r="I62" s="19">
        <f t="shared" si="12"/>
        <v>0</v>
      </c>
      <c r="J62" s="19">
        <f t="shared" si="12"/>
        <v>0</v>
      </c>
      <c r="K62" s="19">
        <f t="shared" si="12"/>
        <v>9244030.2441501487</v>
      </c>
      <c r="M62" s="19">
        <f>$C$7*O62-B62*EXP(-$C$10*$C$8)*P62</f>
        <v>74878890.051314414</v>
      </c>
      <c r="N62" s="18"/>
      <c r="O62" s="24">
        <f t="shared" ref="O62:P65" si="15">NORMSDIST(Q62)</f>
        <v>0.96470005097378086</v>
      </c>
      <c r="P62" s="24">
        <f t="shared" si="15"/>
        <v>0.87933045866516935</v>
      </c>
      <c r="Q62" s="24">
        <f>(LN($C$7/B62)+($C$10+$C$9*$C$9/2)*$C$8)/($C$9*SQRT($C$8))</f>
        <v>1.8080424240069177</v>
      </c>
      <c r="R62" s="24">
        <f t="shared" ref="R62:R65" si="16">Q62-$C$9*SQRT($C$8)</f>
        <v>1.1716463209390249</v>
      </c>
      <c r="S62" s="18"/>
      <c r="T62" s="24">
        <f t="shared" si="14"/>
        <v>4.0356742036371074E-2</v>
      </c>
    </row>
    <row r="63" spans="2:20" x14ac:dyDescent="0.25">
      <c r="B63" s="19">
        <f t="shared" si="11"/>
        <v>63868228.52858007</v>
      </c>
      <c r="C63" s="19">
        <f t="shared" si="11"/>
        <v>90118228.52858007</v>
      </c>
      <c r="E63" s="19">
        <f t="shared" si="13"/>
        <v>16809173.145513169</v>
      </c>
      <c r="G63" s="19">
        <f t="shared" si="12"/>
        <v>1600873.632906016</v>
      </c>
      <c r="H63" s="19">
        <f t="shared" si="12"/>
        <v>2401310.4493590239</v>
      </c>
      <c r="I63" s="19">
        <f t="shared" si="12"/>
        <v>0</v>
      </c>
      <c r="J63" s="19">
        <f t="shared" si="12"/>
        <v>0</v>
      </c>
      <c r="K63" s="19">
        <f t="shared" si="12"/>
        <v>12806989.063248128</v>
      </c>
      <c r="M63" s="19">
        <f>$C$7*O63-B63*EXP(-$C$10*$C$8)*P63</f>
        <v>64479356.026645496</v>
      </c>
      <c r="N63" s="18"/>
      <c r="O63" s="24">
        <f t="shared" si="15"/>
        <v>0.92434330893740979</v>
      </c>
      <c r="P63" s="24">
        <f t="shared" si="15"/>
        <v>0.78771318640011478</v>
      </c>
      <c r="Q63" s="24">
        <f>(LN($C$7/B63)+($C$10+$C$9*$C$9/2)*$C$8)/($C$9*SQRT($C$8))</f>
        <v>1.4349077669864321</v>
      </c>
      <c r="R63" s="24">
        <f t="shared" si="16"/>
        <v>0.79851166391853923</v>
      </c>
      <c r="S63" s="18"/>
      <c r="T63" s="24">
        <f t="shared" si="14"/>
        <v>0.11003319072123108</v>
      </c>
    </row>
    <row r="64" spans="2:20" x14ac:dyDescent="0.25">
      <c r="B64" s="19">
        <f t="shared" si="11"/>
        <v>90118228.52858007</v>
      </c>
      <c r="C64" s="19">
        <f t="shared" si="11"/>
        <v>152618228.52858007</v>
      </c>
      <c r="E64" s="19">
        <f t="shared" si="13"/>
        <v>24552832.596127942</v>
      </c>
      <c r="G64" s="19">
        <f t="shared" si="12"/>
        <v>1964226.6076902354</v>
      </c>
      <c r="H64" s="19">
        <f t="shared" si="12"/>
        <v>2946339.9115353529</v>
      </c>
      <c r="I64" s="19">
        <f t="shared" si="12"/>
        <v>3928453.2153804707</v>
      </c>
      <c r="J64" s="19">
        <f t="shared" si="12"/>
        <v>0</v>
      </c>
      <c r="K64" s="19">
        <f t="shared" si="12"/>
        <v>15713812.861521883</v>
      </c>
      <c r="M64" s="19">
        <f>$C$7*O64-B64*EXP(-$C$10*$C$8)*P64</f>
        <v>47670182.881132327</v>
      </c>
      <c r="N64" s="18"/>
      <c r="O64" s="24">
        <f t="shared" si="15"/>
        <v>0.81431011821617871</v>
      </c>
      <c r="P64" s="24">
        <f t="shared" si="15"/>
        <v>0.60160194749977469</v>
      </c>
      <c r="Q64" s="24">
        <f>(LN($C$7/B64)+($C$10+$C$9*$C$9/2)*$C$8)/($C$9*SQRT($C$8))</f>
        <v>0.89389184106492303</v>
      </c>
      <c r="R64" s="24">
        <f t="shared" si="16"/>
        <v>0.25749573799703018</v>
      </c>
      <c r="S64" s="18"/>
      <c r="T64" s="24">
        <f t="shared" si="14"/>
        <v>0.28796773329801195</v>
      </c>
    </row>
    <row r="65" spans="2:20" x14ac:dyDescent="0.25">
      <c r="B65" s="19">
        <f t="shared" si="11"/>
        <v>152618228.52858007</v>
      </c>
      <c r="C65" s="19" t="str">
        <f t="shared" si="11"/>
        <v>and above</v>
      </c>
      <c r="E65" s="19">
        <f t="shared" si="13"/>
        <v>23117350.285004385</v>
      </c>
      <c r="G65" s="19">
        <f t="shared" si="12"/>
        <v>1567277.9854240261</v>
      </c>
      <c r="H65" s="19">
        <f t="shared" si="12"/>
        <v>2350916.9781360393</v>
      </c>
      <c r="I65" s="19">
        <f t="shared" si="12"/>
        <v>3134555.9708480523</v>
      </c>
      <c r="J65" s="19">
        <f t="shared" si="12"/>
        <v>3526375.467204059</v>
      </c>
      <c r="K65" s="19">
        <f t="shared" si="12"/>
        <v>12538223.883392209</v>
      </c>
      <c r="M65" s="19">
        <f>$C$7*O65-B65*EXP(-$C$10*$C$8)*P65</f>
        <v>23117350.285004385</v>
      </c>
      <c r="N65" s="18"/>
      <c r="O65" s="24">
        <f t="shared" si="15"/>
        <v>0.52634238491816676</v>
      </c>
      <c r="P65" s="24">
        <f t="shared" si="15"/>
        <v>0.28423119351922504</v>
      </c>
      <c r="Q65" s="24">
        <f>(LN($C$7/B65)+($C$10+$C$9*$C$9/2)*$C$8)/($C$9*SQRT($C$8))</f>
        <v>6.6078622822794655E-2</v>
      </c>
      <c r="R65" s="24">
        <f t="shared" si="16"/>
        <v>-0.57031748024509821</v>
      </c>
      <c r="S65" s="18"/>
      <c r="T65" s="24">
        <f t="shared" si="14"/>
        <v>0.52634238491816676</v>
      </c>
    </row>
    <row r="66" spans="2:20" x14ac:dyDescent="0.25">
      <c r="B66" s="17"/>
      <c r="C66" s="17"/>
      <c r="E66" s="17"/>
      <c r="G66" s="8"/>
      <c r="H66" s="8"/>
      <c r="I66" s="8"/>
      <c r="J66" s="8"/>
      <c r="K66" s="8"/>
      <c r="M66" s="17"/>
      <c r="N66" s="18"/>
      <c r="O66" s="17"/>
      <c r="P66" s="17"/>
      <c r="Q66" s="17"/>
      <c r="R66" s="17"/>
      <c r="S66" s="18"/>
      <c r="T66" s="17"/>
    </row>
    <row r="68" spans="2:20" x14ac:dyDescent="0.25">
      <c r="E68" s="14" t="s">
        <v>54</v>
      </c>
      <c r="G68" s="19">
        <f>SUM(G60:G65)</f>
        <v>7673395.8279239517</v>
      </c>
      <c r="H68" s="19">
        <f>SUM(H60:H65)</f>
        <v>12328762.969269864</v>
      </c>
      <c r="I68" s="19">
        <f>SUM(I60:I65)</f>
        <v>18277727.733369768</v>
      </c>
      <c r="J68" s="19">
        <f>SUM(J60:J65)</f>
        <v>24747453.725721676</v>
      </c>
      <c r="K68" s="19">
        <f>SUM(K60:K65)</f>
        <v>56972659.743714742</v>
      </c>
    </row>
    <row r="70" spans="2:20" x14ac:dyDescent="0.25">
      <c r="E70" s="14" t="s">
        <v>55</v>
      </c>
      <c r="G70" s="32">
        <f>G68/G8</f>
        <v>76.733958279239516</v>
      </c>
      <c r="H70" s="32">
        <f>H68/H8</f>
        <v>82.191753128465763</v>
      </c>
      <c r="I70" s="32">
        <f>I68/I8</f>
        <v>91.388638666848834</v>
      </c>
      <c r="J70" s="32">
        <f>J68/J8</f>
        <v>109.98868322542967</v>
      </c>
      <c r="K70" s="32">
        <f>K68/K8</f>
        <v>71.215824679643433</v>
      </c>
      <c r="L70" s="32"/>
      <c r="M70" s="32"/>
    </row>
    <row r="72" spans="2:20" x14ac:dyDescent="0.25">
      <c r="E72" s="14" t="s">
        <v>78</v>
      </c>
      <c r="G72" s="33">
        <f>$C$9*SUMPRODUCT(G47:G52,$T$60:$T$65)*($C$7/G68)</f>
        <v>0.5233039041930384</v>
      </c>
      <c r="H72" s="33">
        <f t="shared" ref="H72:K72" si="17">$C$9*SUMPRODUCT(H47:H52,$T$60:$T$65)*($C$7/H68)</f>
        <v>0.46455087831515723</v>
      </c>
      <c r="I72" s="33">
        <f t="shared" si="17"/>
        <v>0.3631506909930009</v>
      </c>
      <c r="J72" s="33">
        <f t="shared" si="17"/>
        <v>0.19779987361229048</v>
      </c>
      <c r="K72" s="33">
        <f t="shared" si="17"/>
        <v>0.57439009887889947</v>
      </c>
      <c r="L72" s="33"/>
      <c r="M72" s="33"/>
    </row>
  </sheetData>
  <mergeCells count="4">
    <mergeCell ref="B18:C18"/>
    <mergeCell ref="B31:C31"/>
    <mergeCell ref="B44:C44"/>
    <mergeCell ref="B57:C5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8288E-7C71-4B4D-B39E-7614E0BCABEF}">
  <dimension ref="A1:O6"/>
  <sheetViews>
    <sheetView topLeftCell="B1" workbookViewId="0">
      <selection activeCell="G2" activeCellId="1" sqref="E2:E5 G2:G5"/>
    </sheetView>
  </sheetViews>
  <sheetFormatPr defaultRowHeight="15" x14ac:dyDescent="0.25"/>
  <cols>
    <col min="1" max="1" width="16.5703125" bestFit="1" customWidth="1"/>
    <col min="2" max="2" width="11.42578125" customWidth="1"/>
    <col min="3" max="3" width="11.85546875" bestFit="1" customWidth="1"/>
    <col min="4" max="4" width="8.5703125" bestFit="1" customWidth="1"/>
    <col min="5" max="5" width="31.140625" bestFit="1" customWidth="1"/>
    <col min="6" max="6" width="10.7109375" bestFit="1" customWidth="1"/>
    <col min="7" max="7" width="15.85546875" bestFit="1" customWidth="1"/>
    <col min="8" max="8" width="12.28515625" bestFit="1" customWidth="1"/>
    <col min="9" max="9" width="25.140625" bestFit="1" customWidth="1"/>
    <col min="11" max="11" width="31.5703125" bestFit="1" customWidth="1"/>
    <col min="12" max="12" width="17.42578125" bestFit="1" customWidth="1"/>
    <col min="13" max="13" width="12" customWidth="1"/>
    <col min="14" max="14" width="23.28515625" customWidth="1"/>
    <col min="15" max="15" width="15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40</v>
      </c>
      <c r="L1" t="s">
        <v>86</v>
      </c>
      <c r="M1" t="s">
        <v>87</v>
      </c>
      <c r="N1" t="s">
        <v>88</v>
      </c>
      <c r="O1" t="s">
        <v>76</v>
      </c>
    </row>
    <row r="2" spans="1:15" x14ac:dyDescent="0.25">
      <c r="A2" t="s">
        <v>9</v>
      </c>
      <c r="B2" t="s">
        <v>16</v>
      </c>
      <c r="C2" s="3">
        <v>100000</v>
      </c>
      <c r="D2">
        <v>1</v>
      </c>
      <c r="E2" s="30">
        <f>N2</f>
        <v>15.266441273109582</v>
      </c>
      <c r="F2" t="b">
        <v>1</v>
      </c>
      <c r="G2" s="30">
        <f>K2/O2</f>
        <v>1</v>
      </c>
      <c r="K2" s="1">
        <v>10</v>
      </c>
      <c r="L2" s="4">
        <v>0.08</v>
      </c>
      <c r="M2" s="26">
        <v>43831</v>
      </c>
      <c r="N2" s="1">
        <f>K2*(1+L2)^YEARFRAC(M2,"6/30/2025")</f>
        <v>15.266441273109582</v>
      </c>
      <c r="O2" s="1">
        <v>10</v>
      </c>
    </row>
    <row r="3" spans="1:15" x14ac:dyDescent="0.25">
      <c r="A3" t="s">
        <v>10</v>
      </c>
      <c r="B3" t="s">
        <v>16</v>
      </c>
      <c r="C3" s="3">
        <v>150000</v>
      </c>
      <c r="D3">
        <v>1</v>
      </c>
      <c r="E3" s="30">
        <f t="shared" ref="E3:E5" si="0">N3</f>
        <v>34.01222400000001</v>
      </c>
      <c r="F3" t="b">
        <v>1</v>
      </c>
      <c r="G3" s="30">
        <f t="shared" ref="G3:G5" si="1">K3/O3</f>
        <v>1</v>
      </c>
      <c r="K3" s="1">
        <v>25</v>
      </c>
      <c r="L3" s="4">
        <v>0.08</v>
      </c>
      <c r="M3" s="26">
        <v>44377</v>
      </c>
      <c r="N3" s="1">
        <f t="shared" ref="N3:N5" si="2">K3*(1+L3)^YEARFRAC(M3,"6/30/2025")</f>
        <v>34.01222400000001</v>
      </c>
      <c r="O3" s="1">
        <v>25</v>
      </c>
    </row>
    <row r="4" spans="1:15" x14ac:dyDescent="0.25">
      <c r="A4" t="s">
        <v>11</v>
      </c>
      <c r="B4" t="s">
        <v>16</v>
      </c>
      <c r="C4" s="3">
        <v>200000</v>
      </c>
      <c r="D4">
        <v>1</v>
      </c>
      <c r="E4" s="30">
        <f t="shared" si="0"/>
        <v>61.785324495446325</v>
      </c>
      <c r="F4" t="b">
        <v>1</v>
      </c>
      <c r="G4" s="30">
        <f t="shared" si="1"/>
        <v>1</v>
      </c>
      <c r="K4" s="1">
        <v>50</v>
      </c>
      <c r="L4" s="4">
        <v>0.08</v>
      </c>
      <c r="M4" s="26">
        <v>44834</v>
      </c>
      <c r="N4" s="1">
        <f t="shared" si="2"/>
        <v>61.785324495446325</v>
      </c>
      <c r="O4" s="1">
        <v>50</v>
      </c>
    </row>
    <row r="5" spans="1:15" x14ac:dyDescent="0.25">
      <c r="A5" t="s">
        <v>12</v>
      </c>
      <c r="B5" t="s">
        <v>16</v>
      </c>
      <c r="C5" s="3">
        <v>225000</v>
      </c>
      <c r="D5">
        <v>1</v>
      </c>
      <c r="E5" s="30">
        <f t="shared" si="0"/>
        <v>103.92304845413265</v>
      </c>
      <c r="F5" t="b">
        <v>1</v>
      </c>
      <c r="G5" s="30">
        <f t="shared" si="1"/>
        <v>1</v>
      </c>
      <c r="K5" s="1">
        <v>100</v>
      </c>
      <c r="L5" s="4">
        <v>0.08</v>
      </c>
      <c r="M5" s="26">
        <v>45657</v>
      </c>
      <c r="N5" s="1">
        <f t="shared" si="2"/>
        <v>103.92304845413265</v>
      </c>
      <c r="O5" s="1">
        <v>100</v>
      </c>
    </row>
    <row r="6" spans="1:15" x14ac:dyDescent="0.25">
      <c r="A6" t="s">
        <v>15</v>
      </c>
      <c r="B6" t="s">
        <v>15</v>
      </c>
      <c r="C6" s="3">
        <v>800000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F9C53-38E8-4203-BB08-84F08F2DBD40}">
  <dimension ref="B5:T72"/>
  <sheetViews>
    <sheetView showGridLines="0" zoomScale="85" zoomScaleNormal="85" workbookViewId="0">
      <selection activeCell="G70" sqref="G70:M72"/>
    </sheetView>
  </sheetViews>
  <sheetFormatPr defaultRowHeight="15" x14ac:dyDescent="0.25"/>
  <cols>
    <col min="2" max="3" width="17.140625" customWidth="1"/>
    <col min="4" max="4" width="2.85546875" customWidth="1"/>
    <col min="5" max="5" width="17.140625" customWidth="1"/>
    <col min="6" max="6" width="2.85546875" customWidth="1"/>
    <col min="7" max="11" width="17.140625" customWidth="1"/>
    <col min="13" max="13" width="17.140625" customWidth="1"/>
  </cols>
  <sheetData>
    <row r="5" spans="2:12" x14ac:dyDescent="0.25">
      <c r="B5" s="9" t="s">
        <v>33</v>
      </c>
      <c r="C5" s="9"/>
      <c r="G5" s="9" t="s">
        <v>9</v>
      </c>
      <c r="H5" s="9" t="s">
        <v>10</v>
      </c>
      <c r="I5" s="9" t="s">
        <v>11</v>
      </c>
      <c r="J5" s="9" t="s">
        <v>12</v>
      </c>
      <c r="K5" s="9" t="s">
        <v>15</v>
      </c>
    </row>
    <row r="6" spans="2:12" x14ac:dyDescent="0.25">
      <c r="B6" s="6"/>
      <c r="C6" s="6"/>
      <c r="G6" s="6"/>
      <c r="H6" s="6"/>
      <c r="I6" s="6"/>
      <c r="J6" s="6"/>
      <c r="K6" s="6"/>
    </row>
    <row r="7" spans="2:12" x14ac:dyDescent="0.25">
      <c r="B7" t="s">
        <v>34</v>
      </c>
      <c r="C7" s="7">
        <v>120000000</v>
      </c>
      <c r="G7" s="11">
        <f>'6.a Capital Structure'!D2</f>
        <v>1</v>
      </c>
      <c r="H7" s="11">
        <f>'6.a Capital Structure'!D3</f>
        <v>1</v>
      </c>
      <c r="I7" s="11">
        <f>'6.a Capital Structure'!D4</f>
        <v>1</v>
      </c>
      <c r="J7" s="11">
        <f>'6.a Capital Structure'!D5</f>
        <v>1</v>
      </c>
      <c r="K7" s="11"/>
      <c r="L7" s="11" t="s">
        <v>37</v>
      </c>
    </row>
    <row r="8" spans="2:12" x14ac:dyDescent="0.25">
      <c r="B8" t="s">
        <v>47</v>
      </c>
      <c r="C8">
        <v>2</v>
      </c>
      <c r="G8" s="12">
        <f>'6.a Capital Structure'!C2</f>
        <v>100000</v>
      </c>
      <c r="H8" s="12">
        <f>'6.a Capital Structure'!C3</f>
        <v>150000</v>
      </c>
      <c r="I8" s="12">
        <f>'6.a Capital Structure'!C4</f>
        <v>200000</v>
      </c>
      <c r="J8" s="12">
        <f>'6.a Capital Structure'!C5</f>
        <v>225000</v>
      </c>
      <c r="K8" s="12">
        <f>'6.a Capital Structure'!C6</f>
        <v>800000</v>
      </c>
      <c r="L8" s="11" t="s">
        <v>38</v>
      </c>
    </row>
    <row r="9" spans="2:12" x14ac:dyDescent="0.25">
      <c r="B9" t="s">
        <v>35</v>
      </c>
      <c r="C9" s="23">
        <v>0.45</v>
      </c>
      <c r="G9" s="13">
        <f>'6.a Capital Structure'!E2</f>
        <v>15.266441273109582</v>
      </c>
      <c r="H9" s="13">
        <f>'6.a Capital Structure'!E3</f>
        <v>34.01222400000001</v>
      </c>
      <c r="I9" s="13">
        <f>'6.a Capital Structure'!E4</f>
        <v>61.785324495446325</v>
      </c>
      <c r="J9" s="13">
        <f>'6.a Capital Structure'!E5</f>
        <v>103.92304845413265</v>
      </c>
      <c r="K9" s="11"/>
      <c r="L9" s="11" t="s">
        <v>40</v>
      </c>
    </row>
    <row r="10" spans="2:12" x14ac:dyDescent="0.25">
      <c r="B10" t="s">
        <v>36</v>
      </c>
      <c r="C10" s="23">
        <v>0.04</v>
      </c>
      <c r="G10" s="13">
        <f>G8*G9</f>
        <v>1526644.1273109582</v>
      </c>
      <c r="H10" s="13">
        <f t="shared" ref="H10:J10" si="0">H8*H9</f>
        <v>5101833.6000000015</v>
      </c>
      <c r="I10" s="13">
        <f t="shared" si="0"/>
        <v>12357064.899089266</v>
      </c>
      <c r="J10" s="13">
        <f t="shared" si="0"/>
        <v>23382685.902179848</v>
      </c>
      <c r="K10" s="11"/>
      <c r="L10" s="11" t="s">
        <v>39</v>
      </c>
    </row>
    <row r="11" spans="2:12" x14ac:dyDescent="0.25">
      <c r="B11" s="8"/>
      <c r="C11" s="8"/>
      <c r="G11" s="27">
        <f>'6.a Capital Structure'!G2</f>
        <v>1</v>
      </c>
      <c r="H11" s="27">
        <f>'6.a Capital Structure'!G3</f>
        <v>1</v>
      </c>
      <c r="I11" s="27">
        <f>'6.a Capital Structure'!G4</f>
        <v>1</v>
      </c>
      <c r="J11" s="27">
        <f>'6.a Capital Structure'!G5</f>
        <v>1</v>
      </c>
      <c r="L11" s="11" t="s">
        <v>89</v>
      </c>
    </row>
    <row r="12" spans="2:12" x14ac:dyDescent="0.25">
      <c r="C12" s="23"/>
      <c r="G12" s="28">
        <f>G9/G11</f>
        <v>15.266441273109582</v>
      </c>
      <c r="H12" s="28">
        <f t="shared" ref="H12:J12" si="1">H9/H11</f>
        <v>34.01222400000001</v>
      </c>
      <c r="I12" s="28">
        <f t="shared" si="1"/>
        <v>61.785324495446325</v>
      </c>
      <c r="J12" s="28">
        <f t="shared" si="1"/>
        <v>103.92304845413265</v>
      </c>
      <c r="K12" s="11"/>
      <c r="L12" s="11" t="s">
        <v>62</v>
      </c>
    </row>
    <row r="13" spans="2:12" x14ac:dyDescent="0.25">
      <c r="C13" s="23"/>
      <c r="G13" s="10"/>
      <c r="H13" s="10"/>
      <c r="I13" s="10"/>
      <c r="J13" s="10"/>
      <c r="K13" s="8"/>
      <c r="L13" s="11"/>
    </row>
    <row r="18" spans="2:11" x14ac:dyDescent="0.25">
      <c r="B18" s="31" t="s">
        <v>41</v>
      </c>
      <c r="C18" s="31"/>
      <c r="E18" s="16"/>
      <c r="G18" s="16"/>
      <c r="H18" s="16"/>
      <c r="I18" s="16"/>
      <c r="J18" s="16"/>
      <c r="K18" s="16"/>
    </row>
    <row r="19" spans="2:11" x14ac:dyDescent="0.25">
      <c r="B19" s="17" t="s">
        <v>17</v>
      </c>
      <c r="C19" s="17" t="s">
        <v>18</v>
      </c>
      <c r="E19" s="17"/>
      <c r="G19" s="21" t="str">
        <f>G5</f>
        <v>Series A Preferred</v>
      </c>
      <c r="H19" s="21" t="str">
        <f>H5</f>
        <v>Series B Preferred</v>
      </c>
      <c r="I19" s="21" t="str">
        <f>I5</f>
        <v>Series C Preferred</v>
      </c>
      <c r="J19" s="21" t="str">
        <f>J5</f>
        <v>Series D Preferred</v>
      </c>
      <c r="K19" s="21" t="str">
        <f>K5</f>
        <v>Common</v>
      </c>
    </row>
    <row r="20" spans="2:11" x14ac:dyDescent="0.25">
      <c r="B20" s="18"/>
      <c r="C20" s="18"/>
      <c r="E20" s="18"/>
      <c r="G20" s="18"/>
      <c r="H20" s="18"/>
      <c r="I20" s="18"/>
      <c r="J20" s="18"/>
      <c r="K20" s="18"/>
    </row>
    <row r="21" spans="2:11" x14ac:dyDescent="0.25">
      <c r="B21" s="19">
        <v>0</v>
      </c>
      <c r="C21" s="19">
        <f>B21+SUM(G21:J21)</f>
        <v>42368228.52858007</v>
      </c>
      <c r="E21" s="18"/>
      <c r="G21" s="19">
        <f>G10</f>
        <v>1526644.1273109582</v>
      </c>
      <c r="H21" s="19">
        <f t="shared" ref="H21:J21" si="2">H10</f>
        <v>5101833.6000000015</v>
      </c>
      <c r="I21" s="19">
        <f t="shared" si="2"/>
        <v>12357064.899089266</v>
      </c>
      <c r="J21" s="19">
        <f t="shared" si="2"/>
        <v>23382685.902179848</v>
      </c>
      <c r="K21" s="18"/>
    </row>
    <row r="22" spans="2:11" x14ac:dyDescent="0.25">
      <c r="B22" s="19">
        <f>C21</f>
        <v>42368228.52858007</v>
      </c>
      <c r="C22" s="19">
        <f t="shared" ref="C22:C25" si="3">B22+(E22-E21)*SUM(G22:K22)</f>
        <v>54581381.547067732</v>
      </c>
      <c r="E22" s="19">
        <f>G12</f>
        <v>15.266441273109582</v>
      </c>
      <c r="G22" s="20"/>
      <c r="H22" s="20"/>
      <c r="I22" s="20"/>
      <c r="J22" s="20"/>
      <c r="K22" s="20">
        <f t="shared" ref="G22:K26" si="4">K$8</f>
        <v>800000</v>
      </c>
    </row>
    <row r="23" spans="2:11" x14ac:dyDescent="0.25">
      <c r="B23" s="19">
        <f t="shared" ref="B23:B26" si="5">C22</f>
        <v>54581381.547067732</v>
      </c>
      <c r="C23" s="19">
        <f t="shared" si="3"/>
        <v>71452586.001269117</v>
      </c>
      <c r="E23" s="19">
        <f>H12</f>
        <v>34.01222400000001</v>
      </c>
      <c r="G23" s="20">
        <f t="shared" si="4"/>
        <v>100000</v>
      </c>
      <c r="H23" s="20"/>
      <c r="I23" s="20"/>
      <c r="J23" s="20"/>
      <c r="K23" s="20">
        <f t="shared" si="4"/>
        <v>800000</v>
      </c>
    </row>
    <row r="24" spans="2:11" x14ac:dyDescent="0.25">
      <c r="B24" s="19">
        <f t="shared" si="5"/>
        <v>71452586.001269117</v>
      </c>
      <c r="C24" s="19">
        <f t="shared" si="3"/>
        <v>100614341.52148774</v>
      </c>
      <c r="E24" s="19">
        <f>I12</f>
        <v>61.785324495446325</v>
      </c>
      <c r="G24" s="20">
        <f t="shared" si="4"/>
        <v>100000</v>
      </c>
      <c r="H24" s="20">
        <f t="shared" si="4"/>
        <v>150000</v>
      </c>
      <c r="I24" s="20"/>
      <c r="J24" s="20"/>
      <c r="K24" s="20">
        <f t="shared" si="4"/>
        <v>800000</v>
      </c>
    </row>
    <row r="25" spans="2:11" x14ac:dyDescent="0.25">
      <c r="B25" s="19">
        <f t="shared" si="5"/>
        <v>100614341.52148774</v>
      </c>
      <c r="C25" s="19">
        <f t="shared" si="3"/>
        <v>153286496.46984565</v>
      </c>
      <c r="E25" s="19">
        <f>J12</f>
        <v>103.92304845413265</v>
      </c>
      <c r="G25" s="20">
        <f t="shared" si="4"/>
        <v>100000</v>
      </c>
      <c r="H25" s="20">
        <f t="shared" si="4"/>
        <v>150000</v>
      </c>
      <c r="I25" s="20">
        <f t="shared" si="4"/>
        <v>200000</v>
      </c>
      <c r="J25" s="20"/>
      <c r="K25" s="20">
        <f t="shared" si="4"/>
        <v>800000</v>
      </c>
    </row>
    <row r="26" spans="2:11" x14ac:dyDescent="0.25">
      <c r="B26" s="19">
        <f t="shared" si="5"/>
        <v>153286496.46984565</v>
      </c>
      <c r="C26" s="19" t="s">
        <v>19</v>
      </c>
      <c r="E26" s="19"/>
      <c r="G26" s="20">
        <f t="shared" si="4"/>
        <v>100000</v>
      </c>
      <c r="H26" s="20">
        <f t="shared" si="4"/>
        <v>150000</v>
      </c>
      <c r="I26" s="20">
        <f t="shared" si="4"/>
        <v>200000</v>
      </c>
      <c r="J26" s="20">
        <f t="shared" si="4"/>
        <v>225000</v>
      </c>
      <c r="K26" s="20">
        <f t="shared" si="4"/>
        <v>800000</v>
      </c>
    </row>
    <row r="27" spans="2:11" x14ac:dyDescent="0.25">
      <c r="B27" s="17"/>
      <c r="C27" s="17"/>
      <c r="E27" s="17"/>
      <c r="G27" s="17"/>
      <c r="H27" s="17"/>
      <c r="I27" s="17"/>
      <c r="J27" s="17"/>
      <c r="K27" s="17"/>
    </row>
    <row r="31" spans="2:11" x14ac:dyDescent="0.25">
      <c r="B31" s="31" t="s">
        <v>41</v>
      </c>
      <c r="C31" s="31"/>
      <c r="D31" s="18"/>
      <c r="E31" s="15" t="s">
        <v>42</v>
      </c>
      <c r="G31" s="6"/>
      <c r="H31" s="6"/>
      <c r="I31" s="6"/>
      <c r="J31" s="6"/>
      <c r="K31" s="6"/>
    </row>
    <row r="32" spans="2:11" x14ac:dyDescent="0.25">
      <c r="B32" s="17" t="str">
        <f>B19</f>
        <v xml:space="preserve">From </v>
      </c>
      <c r="C32" s="17" t="str">
        <f>C19</f>
        <v>To</v>
      </c>
      <c r="D32" s="18"/>
      <c r="E32" s="21" t="s">
        <v>43</v>
      </c>
      <c r="G32" s="8"/>
      <c r="H32" s="8"/>
      <c r="I32" s="8"/>
      <c r="J32" s="8"/>
      <c r="K32" s="8"/>
    </row>
    <row r="33" spans="2:11" x14ac:dyDescent="0.25">
      <c r="B33" s="18"/>
      <c r="C33" s="18"/>
      <c r="D33" s="18"/>
      <c r="E33" s="18"/>
    </row>
    <row r="34" spans="2:11" x14ac:dyDescent="0.25">
      <c r="B34" s="18">
        <f t="shared" ref="B34:C39" si="6">B21</f>
        <v>0</v>
      </c>
      <c r="C34" s="19">
        <f t="shared" si="6"/>
        <v>42368228.52858007</v>
      </c>
      <c r="D34" s="18"/>
      <c r="E34" s="19">
        <f>C34-B34</f>
        <v>42368228.52858007</v>
      </c>
      <c r="G34" t="s">
        <v>63</v>
      </c>
    </row>
    <row r="35" spans="2:11" x14ac:dyDescent="0.25">
      <c r="B35" s="19">
        <f t="shared" si="6"/>
        <v>42368228.52858007</v>
      </c>
      <c r="C35" s="19">
        <f t="shared" si="6"/>
        <v>54581381.547067732</v>
      </c>
      <c r="D35" s="18"/>
      <c r="E35" s="19">
        <f t="shared" ref="E35:E38" si="7">C35-B35</f>
        <v>12213153.018487662</v>
      </c>
      <c r="G35" t="s">
        <v>80</v>
      </c>
    </row>
    <row r="36" spans="2:11" x14ac:dyDescent="0.25">
      <c r="B36" s="19">
        <f t="shared" si="6"/>
        <v>54581381.547067732</v>
      </c>
      <c r="C36" s="19">
        <f t="shared" si="6"/>
        <v>71452586.001269117</v>
      </c>
      <c r="D36" s="18"/>
      <c r="E36" s="19">
        <f t="shared" si="7"/>
        <v>16871204.454201385</v>
      </c>
      <c r="G36" t="s">
        <v>81</v>
      </c>
      <c r="J36" s="7"/>
    </row>
    <row r="37" spans="2:11" x14ac:dyDescent="0.25">
      <c r="B37" s="19">
        <f t="shared" si="6"/>
        <v>71452586.001269117</v>
      </c>
      <c r="C37" s="19">
        <f t="shared" si="6"/>
        <v>100614341.52148774</v>
      </c>
      <c r="D37" s="18"/>
      <c r="E37" s="19">
        <f t="shared" si="7"/>
        <v>29161755.520218626</v>
      </c>
      <c r="G37" t="s">
        <v>82</v>
      </c>
      <c r="I37" s="7"/>
    </row>
    <row r="38" spans="2:11" x14ac:dyDescent="0.25">
      <c r="B38" s="19">
        <f t="shared" si="6"/>
        <v>100614341.52148774</v>
      </c>
      <c r="C38" s="19">
        <f t="shared" si="6"/>
        <v>153286496.46984565</v>
      </c>
      <c r="D38" s="18"/>
      <c r="E38" s="19">
        <f t="shared" si="7"/>
        <v>52672154.94835791</v>
      </c>
      <c r="G38" t="s">
        <v>83</v>
      </c>
      <c r="H38" s="7"/>
    </row>
    <row r="39" spans="2:11" x14ac:dyDescent="0.25">
      <c r="B39" s="19">
        <f t="shared" si="6"/>
        <v>153286496.46984565</v>
      </c>
      <c r="C39" s="19" t="str">
        <f t="shared" si="6"/>
        <v>and above</v>
      </c>
      <c r="D39" s="18"/>
      <c r="E39" s="19"/>
      <c r="G39" s="7" t="s">
        <v>84</v>
      </c>
    </row>
    <row r="40" spans="2:11" x14ac:dyDescent="0.25">
      <c r="B40" s="17"/>
      <c r="C40" s="17"/>
      <c r="D40" s="18"/>
      <c r="E40" s="17"/>
      <c r="G40" s="8"/>
      <c r="H40" s="8"/>
      <c r="I40" s="8"/>
      <c r="J40" s="8"/>
      <c r="K40" s="8"/>
    </row>
    <row r="44" spans="2:11" x14ac:dyDescent="0.25">
      <c r="B44" s="31" t="s">
        <v>41</v>
      </c>
      <c r="C44" s="31"/>
      <c r="E44" s="15" t="s">
        <v>44</v>
      </c>
      <c r="G44" s="16"/>
      <c r="H44" s="16"/>
      <c r="I44" s="16"/>
      <c r="J44" s="16"/>
      <c r="K44" s="16"/>
    </row>
    <row r="45" spans="2:11" x14ac:dyDescent="0.25">
      <c r="B45" s="17" t="str">
        <f>B32</f>
        <v xml:space="preserve">From </v>
      </c>
      <c r="C45" s="17" t="str">
        <f>C32</f>
        <v>To</v>
      </c>
      <c r="E45" s="21" t="s">
        <v>45</v>
      </c>
      <c r="G45" s="21" t="str">
        <f>G19</f>
        <v>Series A Preferred</v>
      </c>
      <c r="H45" s="21" t="str">
        <f>H19</f>
        <v>Series B Preferred</v>
      </c>
      <c r="I45" s="21" t="str">
        <f>I19</f>
        <v>Series C Preferred</v>
      </c>
      <c r="J45" s="21" t="str">
        <f>J19</f>
        <v>Series D Preferred</v>
      </c>
      <c r="K45" s="21" t="str">
        <f>K19</f>
        <v>Common</v>
      </c>
    </row>
    <row r="46" spans="2:11" x14ac:dyDescent="0.25">
      <c r="B46" s="18"/>
      <c r="C46" s="18"/>
      <c r="E46" s="18"/>
      <c r="G46" s="18"/>
      <c r="H46" s="18"/>
      <c r="I46" s="18"/>
      <c r="J46" s="18"/>
      <c r="K46" s="18"/>
    </row>
    <row r="47" spans="2:11" x14ac:dyDescent="0.25">
      <c r="B47" s="18">
        <f t="shared" ref="B47:C52" si="8">B34</f>
        <v>0</v>
      </c>
      <c r="C47" s="19">
        <f t="shared" si="8"/>
        <v>42368228.52858007</v>
      </c>
      <c r="E47" s="22">
        <f t="shared" ref="E47:E52" si="9">SUM(G47:K47)</f>
        <v>1</v>
      </c>
      <c r="G47" s="22">
        <f t="shared" ref="G47:K52" si="10">G21/SUM($G21:$K21)</f>
        <v>3.6032758043710499E-2</v>
      </c>
      <c r="H47" s="22">
        <f t="shared" si="10"/>
        <v>0.12041649550106844</v>
      </c>
      <c r="I47" s="22">
        <f t="shared" si="10"/>
        <v>0.29165875771165739</v>
      </c>
      <c r="J47" s="22">
        <f t="shared" si="10"/>
        <v>0.55189198874356371</v>
      </c>
      <c r="K47" s="22">
        <f t="shared" si="10"/>
        <v>0</v>
      </c>
    </row>
    <row r="48" spans="2:11" x14ac:dyDescent="0.25">
      <c r="B48" s="19">
        <f t="shared" si="8"/>
        <v>42368228.52858007</v>
      </c>
      <c r="C48" s="19">
        <f t="shared" si="8"/>
        <v>54581381.547067732</v>
      </c>
      <c r="E48" s="22">
        <f t="shared" si="9"/>
        <v>1</v>
      </c>
      <c r="G48" s="22">
        <f t="shared" si="10"/>
        <v>0</v>
      </c>
      <c r="H48" s="22">
        <f t="shared" si="10"/>
        <v>0</v>
      </c>
      <c r="I48" s="22">
        <f t="shared" si="10"/>
        <v>0</v>
      </c>
      <c r="J48" s="22">
        <f t="shared" si="10"/>
        <v>0</v>
      </c>
      <c r="K48" s="22">
        <f t="shared" si="10"/>
        <v>1</v>
      </c>
    </row>
    <row r="49" spans="2:20" x14ac:dyDescent="0.25">
      <c r="B49" s="19">
        <f t="shared" si="8"/>
        <v>54581381.547067732</v>
      </c>
      <c r="C49" s="19">
        <f t="shared" si="8"/>
        <v>71452586.001269117</v>
      </c>
      <c r="E49" s="22">
        <f t="shared" si="9"/>
        <v>1</v>
      </c>
      <c r="G49" s="22">
        <f t="shared" si="10"/>
        <v>0.1111111111111111</v>
      </c>
      <c r="H49" s="22">
        <f t="shared" si="10"/>
        <v>0</v>
      </c>
      <c r="I49" s="22">
        <f t="shared" si="10"/>
        <v>0</v>
      </c>
      <c r="J49" s="22">
        <f t="shared" si="10"/>
        <v>0</v>
      </c>
      <c r="K49" s="22">
        <f t="shared" si="10"/>
        <v>0.88888888888888884</v>
      </c>
    </row>
    <row r="50" spans="2:20" x14ac:dyDescent="0.25">
      <c r="B50" s="19">
        <f t="shared" si="8"/>
        <v>71452586.001269117</v>
      </c>
      <c r="C50" s="19">
        <f t="shared" si="8"/>
        <v>100614341.52148774</v>
      </c>
      <c r="E50" s="22">
        <f t="shared" si="9"/>
        <v>1</v>
      </c>
      <c r="G50" s="22">
        <f t="shared" si="10"/>
        <v>9.5238095238095233E-2</v>
      </c>
      <c r="H50" s="22">
        <f t="shared" si="10"/>
        <v>0.14285714285714285</v>
      </c>
      <c r="I50" s="22">
        <f t="shared" si="10"/>
        <v>0</v>
      </c>
      <c r="J50" s="22">
        <f t="shared" si="10"/>
        <v>0</v>
      </c>
      <c r="K50" s="22">
        <f t="shared" si="10"/>
        <v>0.76190476190476186</v>
      </c>
    </row>
    <row r="51" spans="2:20" x14ac:dyDescent="0.25">
      <c r="B51" s="19">
        <f t="shared" si="8"/>
        <v>100614341.52148774</v>
      </c>
      <c r="C51" s="19">
        <f t="shared" si="8"/>
        <v>153286496.46984565</v>
      </c>
      <c r="E51" s="22">
        <f t="shared" si="9"/>
        <v>1</v>
      </c>
      <c r="G51" s="22">
        <f t="shared" si="10"/>
        <v>0.08</v>
      </c>
      <c r="H51" s="22">
        <f t="shared" si="10"/>
        <v>0.12</v>
      </c>
      <c r="I51" s="22">
        <f t="shared" si="10"/>
        <v>0.16</v>
      </c>
      <c r="J51" s="22">
        <f t="shared" si="10"/>
        <v>0</v>
      </c>
      <c r="K51" s="22">
        <f t="shared" si="10"/>
        <v>0.64</v>
      </c>
    </row>
    <row r="52" spans="2:20" x14ac:dyDescent="0.25">
      <c r="B52" s="19">
        <f t="shared" si="8"/>
        <v>153286496.46984565</v>
      </c>
      <c r="C52" s="19" t="str">
        <f t="shared" si="8"/>
        <v>and above</v>
      </c>
      <c r="E52" s="22">
        <f t="shared" si="9"/>
        <v>1</v>
      </c>
      <c r="G52" s="22">
        <f t="shared" si="10"/>
        <v>6.7796610169491525E-2</v>
      </c>
      <c r="H52" s="22">
        <f t="shared" si="10"/>
        <v>0.10169491525423729</v>
      </c>
      <c r="I52" s="22">
        <f t="shared" si="10"/>
        <v>0.13559322033898305</v>
      </c>
      <c r="J52" s="22">
        <f t="shared" si="10"/>
        <v>0.15254237288135594</v>
      </c>
      <c r="K52" s="22">
        <f t="shared" si="10"/>
        <v>0.5423728813559322</v>
      </c>
    </row>
    <row r="53" spans="2:20" x14ac:dyDescent="0.25">
      <c r="B53" s="17"/>
      <c r="C53" s="17"/>
      <c r="E53" s="17"/>
      <c r="G53" s="17"/>
      <c r="H53" s="17"/>
      <c r="I53" s="17"/>
      <c r="J53" s="17"/>
      <c r="K53" s="17"/>
    </row>
    <row r="54" spans="2:20" x14ac:dyDescent="0.25">
      <c r="G54" s="18"/>
      <c r="H54" s="18"/>
      <c r="I54" s="18"/>
      <c r="J54" s="18"/>
      <c r="K54" s="18"/>
    </row>
    <row r="55" spans="2:20" x14ac:dyDescent="0.25">
      <c r="G55" s="18"/>
      <c r="H55" s="18"/>
      <c r="I55" s="18"/>
      <c r="J55" s="18"/>
      <c r="K55" s="18"/>
    </row>
    <row r="56" spans="2:20" x14ac:dyDescent="0.25">
      <c r="G56" s="18"/>
      <c r="H56" s="18"/>
      <c r="I56" s="18"/>
      <c r="J56" s="18"/>
      <c r="K56" s="18"/>
    </row>
    <row r="57" spans="2:20" x14ac:dyDescent="0.25">
      <c r="B57" s="31" t="str">
        <f>B44</f>
        <v>Breakpoints</v>
      </c>
      <c r="C57" s="31">
        <f>C44</f>
        <v>0</v>
      </c>
      <c r="E57" s="15" t="s">
        <v>46</v>
      </c>
      <c r="G57" s="16"/>
      <c r="H57" s="16"/>
      <c r="I57" s="16"/>
      <c r="J57" s="16"/>
      <c r="K57" s="16"/>
      <c r="M57" s="16" t="s">
        <v>52</v>
      </c>
      <c r="N57" s="18"/>
      <c r="O57" s="16"/>
      <c r="P57" s="16"/>
      <c r="Q57" s="16"/>
      <c r="R57" s="16"/>
      <c r="S57" s="18"/>
      <c r="T57" s="16" t="s">
        <v>42</v>
      </c>
    </row>
    <row r="58" spans="2:20" x14ac:dyDescent="0.25">
      <c r="B58" s="17" t="str">
        <f>B45</f>
        <v xml:space="preserve">From </v>
      </c>
      <c r="C58" s="17" t="str">
        <f>C45</f>
        <v>To</v>
      </c>
      <c r="E58" s="17"/>
      <c r="G58" s="21" t="str">
        <f>G5</f>
        <v>Series A Preferred</v>
      </c>
      <c r="H58" s="21" t="str">
        <f>H5</f>
        <v>Series B Preferred</v>
      </c>
      <c r="I58" s="21" t="str">
        <f>I5</f>
        <v>Series C Preferred</v>
      </c>
      <c r="J58" s="21" t="str">
        <f>J5</f>
        <v>Series D Preferred</v>
      </c>
      <c r="K58" s="21" t="str">
        <f>K5</f>
        <v>Common</v>
      </c>
      <c r="M58" s="17" t="s">
        <v>53</v>
      </c>
      <c r="N58" s="18"/>
      <c r="O58" s="17" t="s">
        <v>48</v>
      </c>
      <c r="P58" s="17" t="s">
        <v>49</v>
      </c>
      <c r="Q58" s="17" t="s">
        <v>50</v>
      </c>
      <c r="R58" s="17" t="s">
        <v>51</v>
      </c>
      <c r="S58" s="18"/>
      <c r="T58" s="17" t="s">
        <v>48</v>
      </c>
    </row>
    <row r="59" spans="2:20" x14ac:dyDescent="0.25">
      <c r="B59" s="18"/>
      <c r="C59" s="18"/>
      <c r="E59" s="16"/>
      <c r="G59" s="6"/>
      <c r="H59" s="6"/>
      <c r="I59" s="6"/>
      <c r="J59" s="6"/>
      <c r="K59" s="6"/>
      <c r="M59" s="16"/>
      <c r="N59" s="18"/>
      <c r="O59" s="16"/>
      <c r="P59" s="16"/>
      <c r="Q59" s="16"/>
      <c r="R59" s="16"/>
      <c r="S59" s="18"/>
      <c r="T59" s="16"/>
    </row>
    <row r="60" spans="2:20" x14ac:dyDescent="0.25">
      <c r="B60" s="18">
        <f t="shared" ref="B60:C65" si="11">B47</f>
        <v>0</v>
      </c>
      <c r="C60" s="19">
        <f t="shared" si="11"/>
        <v>42368228.52858007</v>
      </c>
      <c r="E60" s="19">
        <f>M60-M61</f>
        <v>38451506.257283211</v>
      </c>
      <c r="G60" s="19">
        <f t="shared" ref="G60:K65" si="12">$E60*G47</f>
        <v>1385513.8213849061</v>
      </c>
      <c r="H60" s="19">
        <f t="shared" si="12"/>
        <v>4630195.6302394485</v>
      </c>
      <c r="I60" s="19">
        <f t="shared" si="12"/>
        <v>11214718.547141243</v>
      </c>
      <c r="J60" s="19">
        <f t="shared" si="12"/>
        <v>21221078.258517615</v>
      </c>
      <c r="K60" s="19">
        <f t="shared" si="12"/>
        <v>0</v>
      </c>
      <c r="M60" s="19">
        <f>C7</f>
        <v>120000000</v>
      </c>
      <c r="N60" s="18"/>
      <c r="O60" s="18">
        <v>1</v>
      </c>
      <c r="P60" s="18"/>
      <c r="Q60" s="18"/>
      <c r="R60" s="18"/>
      <c r="S60" s="18"/>
      <c r="T60" s="24">
        <f>O60-O61</f>
        <v>1.8770760168765555E-2</v>
      </c>
    </row>
    <row r="61" spans="2:20" x14ac:dyDescent="0.25">
      <c r="B61" s="19">
        <f t="shared" si="11"/>
        <v>42368228.52858007</v>
      </c>
      <c r="C61" s="19">
        <f t="shared" si="11"/>
        <v>54581381.547067732</v>
      </c>
      <c r="E61" s="19">
        <f t="shared" ref="E61:E65" si="13">M61-M62</f>
        <v>10037065.177468374</v>
      </c>
      <c r="G61" s="19">
        <f t="shared" si="12"/>
        <v>0</v>
      </c>
      <c r="H61" s="19">
        <f t="shared" si="12"/>
        <v>0</v>
      </c>
      <c r="I61" s="19">
        <f t="shared" si="12"/>
        <v>0</v>
      </c>
      <c r="J61" s="19">
        <f t="shared" si="12"/>
        <v>0</v>
      </c>
      <c r="K61" s="19">
        <f t="shared" si="12"/>
        <v>10037065.177468374</v>
      </c>
      <c r="M61" s="19">
        <f>$C$7*O61-B61*EXP(-$C$10*$C$8)*P61</f>
        <v>81548493.742716789</v>
      </c>
      <c r="N61" s="18"/>
      <c r="O61" s="24">
        <f>NORMSDIST(Q61)</f>
        <v>0.98122923983123445</v>
      </c>
      <c r="P61" s="24">
        <f>NORMSDIST(R61)</f>
        <v>0.92555025815476633</v>
      </c>
      <c r="Q61" s="24">
        <f>(LN($C$7/B61)+($C$10+$C$9*$C$9/2)*$C$8)/($C$9*SQRT($C$8))</f>
        <v>2.0798257283561306</v>
      </c>
      <c r="R61" s="24">
        <f>Q61-$C$9*SQRT($C$8)</f>
        <v>1.4434296252882377</v>
      </c>
      <c r="S61" s="18"/>
      <c r="T61" s="24">
        <f t="shared" ref="T61:T65" si="14">O61-O62</f>
        <v>2.7531842712804067E-2</v>
      </c>
    </row>
    <row r="62" spans="2:20" x14ac:dyDescent="0.25">
      <c r="B62" s="19">
        <f t="shared" si="11"/>
        <v>54581381.547067732</v>
      </c>
      <c r="C62" s="19">
        <f t="shared" si="11"/>
        <v>71452586.001269117</v>
      </c>
      <c r="E62" s="19">
        <f t="shared" si="13"/>
        <v>12356241.665598653</v>
      </c>
      <c r="G62" s="19">
        <f t="shared" si="12"/>
        <v>1372915.7406220725</v>
      </c>
      <c r="H62" s="19">
        <f t="shared" si="12"/>
        <v>0</v>
      </c>
      <c r="I62" s="19">
        <f t="shared" si="12"/>
        <v>0</v>
      </c>
      <c r="J62" s="19">
        <f t="shared" si="12"/>
        <v>0</v>
      </c>
      <c r="K62" s="19">
        <f t="shared" si="12"/>
        <v>10983325.92497658</v>
      </c>
      <c r="M62" s="19">
        <f>$C$7*O62-B62*EXP(-$C$10*$C$8)*P62</f>
        <v>71511428.565248415</v>
      </c>
      <c r="N62" s="18"/>
      <c r="O62" s="24">
        <f t="shared" ref="O62:P65" si="15">NORMSDIST(Q62)</f>
        <v>0.95369739711843038</v>
      </c>
      <c r="P62" s="24">
        <f t="shared" si="15"/>
        <v>0.85208471714917788</v>
      </c>
      <c r="Q62" s="24">
        <f>(LN($C$7/B62)+($C$10+$C$9*$C$9/2)*$C$8)/($C$9*SQRT($C$8))</f>
        <v>1.6818124911997729</v>
      </c>
      <c r="R62" s="24">
        <f t="shared" ref="R62:R65" si="16">Q62-$C$9*SQRT($C$8)</f>
        <v>1.0454163881318801</v>
      </c>
      <c r="S62" s="18"/>
      <c r="T62" s="24">
        <f t="shared" si="14"/>
        <v>5.7787798889606612E-2</v>
      </c>
    </row>
    <row r="63" spans="2:20" x14ac:dyDescent="0.25">
      <c r="B63" s="19">
        <f t="shared" si="11"/>
        <v>71452586.001269117</v>
      </c>
      <c r="C63" s="19">
        <f t="shared" si="11"/>
        <v>100614341.52148774</v>
      </c>
      <c r="E63" s="19">
        <f t="shared" si="13"/>
        <v>16980243.069793291</v>
      </c>
      <c r="G63" s="19">
        <f t="shared" si="12"/>
        <v>1617166.0066469801</v>
      </c>
      <c r="H63" s="19">
        <f t="shared" si="12"/>
        <v>2425749.0099704699</v>
      </c>
      <c r="I63" s="19">
        <f t="shared" si="12"/>
        <v>0</v>
      </c>
      <c r="J63" s="19">
        <f t="shared" si="12"/>
        <v>0</v>
      </c>
      <c r="K63" s="19">
        <f t="shared" si="12"/>
        <v>12937328.053175841</v>
      </c>
      <c r="M63" s="19">
        <f>$C$7*O63-B63*EXP(-$C$10*$C$8)*P63</f>
        <v>59155186.899649762</v>
      </c>
      <c r="N63" s="18"/>
      <c r="O63" s="24">
        <f t="shared" si="15"/>
        <v>0.89590959822882377</v>
      </c>
      <c r="P63" s="24">
        <f t="shared" si="15"/>
        <v>0.73309067964093333</v>
      </c>
      <c r="Q63" s="24">
        <f>(LN($C$7/B63)+($C$10+$C$9*$C$9/2)*$C$8)/($C$9*SQRT($C$8))</f>
        <v>1.2585835174667275</v>
      </c>
      <c r="R63" s="24">
        <f t="shared" si="16"/>
        <v>0.62218741439883463</v>
      </c>
      <c r="S63" s="18"/>
      <c r="T63" s="24">
        <f t="shared" si="14"/>
        <v>0.13143428651532807</v>
      </c>
    </row>
    <row r="64" spans="2:20" x14ac:dyDescent="0.25">
      <c r="B64" s="19">
        <f t="shared" si="11"/>
        <v>100614341.52148774</v>
      </c>
      <c r="C64" s="19">
        <f t="shared" si="11"/>
        <v>153286496.46984565</v>
      </c>
      <c r="E64" s="19">
        <f t="shared" si="13"/>
        <v>19232215.075006433</v>
      </c>
      <c r="G64" s="19">
        <f t="shared" si="12"/>
        <v>1538577.2060005146</v>
      </c>
      <c r="H64" s="19">
        <f t="shared" si="12"/>
        <v>2307865.809000772</v>
      </c>
      <c r="I64" s="19">
        <f t="shared" si="12"/>
        <v>3077154.4120010291</v>
      </c>
      <c r="J64" s="19">
        <f t="shared" si="12"/>
        <v>0</v>
      </c>
      <c r="K64" s="19">
        <f t="shared" si="12"/>
        <v>12308617.648004116</v>
      </c>
      <c r="M64" s="19">
        <f>$C$7*O64-B64*EXP(-$C$10*$C$8)*P64</f>
        <v>42174943.82985647</v>
      </c>
      <c r="N64" s="18"/>
      <c r="O64" s="24">
        <f t="shared" si="15"/>
        <v>0.7644753117134957</v>
      </c>
      <c r="P64" s="24">
        <f t="shared" si="15"/>
        <v>0.5336214917835933</v>
      </c>
      <c r="Q64" s="24">
        <f>(LN($C$7/B64)+($C$10+$C$9*$C$9/2)*$C$8)/($C$9*SQRT($C$8))</f>
        <v>0.72077269676872846</v>
      </c>
      <c r="R64" s="24">
        <f t="shared" si="16"/>
        <v>8.4376593700835612E-2</v>
      </c>
      <c r="S64" s="18"/>
      <c r="T64" s="24">
        <f t="shared" si="14"/>
        <v>0.24086646178187165</v>
      </c>
    </row>
    <row r="65" spans="2:20" x14ac:dyDescent="0.25">
      <c r="B65" s="19">
        <f t="shared" si="11"/>
        <v>153286496.46984565</v>
      </c>
      <c r="C65" s="19" t="str">
        <f t="shared" si="11"/>
        <v>and above</v>
      </c>
      <c r="E65" s="19">
        <f t="shared" si="13"/>
        <v>22942728.754850037</v>
      </c>
      <c r="G65" s="19">
        <f t="shared" si="12"/>
        <v>1555439.2376169516</v>
      </c>
      <c r="H65" s="19">
        <f t="shared" si="12"/>
        <v>2333158.8564254278</v>
      </c>
      <c r="I65" s="19">
        <f t="shared" si="12"/>
        <v>3110878.4752339032</v>
      </c>
      <c r="J65" s="19">
        <f t="shared" si="12"/>
        <v>3499738.2846381417</v>
      </c>
      <c r="K65" s="19">
        <f t="shared" si="12"/>
        <v>12443513.900935613</v>
      </c>
      <c r="M65" s="19">
        <f>$C$7*O65-B65*EXP(-$C$10*$C$8)*P65</f>
        <v>22942728.754850037</v>
      </c>
      <c r="N65" s="18"/>
      <c r="O65" s="24">
        <f t="shared" si="15"/>
        <v>0.52360884993162404</v>
      </c>
      <c r="P65" s="24">
        <f t="shared" si="15"/>
        <v>0.28190795090243109</v>
      </c>
      <c r="Q65" s="24">
        <f>(LN($C$7/B65)+($C$10+$C$9*$C$9/2)*$C$8)/($C$9*SQRT($C$8))</f>
        <v>5.9213194820721737E-2</v>
      </c>
      <c r="R65" s="24">
        <f t="shared" si="16"/>
        <v>-0.57718290824717111</v>
      </c>
      <c r="S65" s="18"/>
      <c r="T65" s="24">
        <f t="shared" si="14"/>
        <v>0.52360884993162404</v>
      </c>
    </row>
    <row r="66" spans="2:20" x14ac:dyDescent="0.25">
      <c r="B66" s="17"/>
      <c r="C66" s="17"/>
      <c r="E66" s="17"/>
      <c r="G66" s="8"/>
      <c r="H66" s="8"/>
      <c r="I66" s="8"/>
      <c r="J66" s="8"/>
      <c r="K66" s="8"/>
      <c r="M66" s="17"/>
      <c r="N66" s="18"/>
      <c r="O66" s="17"/>
      <c r="P66" s="17"/>
      <c r="Q66" s="17"/>
      <c r="R66" s="17"/>
      <c r="S66" s="18"/>
      <c r="T66" s="17"/>
    </row>
    <row r="68" spans="2:20" x14ac:dyDescent="0.25">
      <c r="E68" s="14" t="s">
        <v>54</v>
      </c>
      <c r="G68" s="19">
        <f>SUM(G60:G65)</f>
        <v>7469612.0122714238</v>
      </c>
      <c r="H68" s="19">
        <f>SUM(H60:H65)</f>
        <v>11696969.305636119</v>
      </c>
      <c r="I68" s="19">
        <f>SUM(I60:I65)</f>
        <v>17402751.434376173</v>
      </c>
      <c r="J68" s="19">
        <f>SUM(J60:J65)</f>
        <v>24720816.543155756</v>
      </c>
      <c r="K68" s="19">
        <f>SUM(K60:K65)</f>
        <v>58709850.704560526</v>
      </c>
    </row>
    <row r="70" spans="2:20" x14ac:dyDescent="0.25">
      <c r="E70" s="14" t="s">
        <v>55</v>
      </c>
      <c r="G70" s="32">
        <f>G68/G8</f>
        <v>74.696120122714234</v>
      </c>
      <c r="H70" s="32">
        <f>H68/H8</f>
        <v>77.979795370907468</v>
      </c>
      <c r="I70" s="32">
        <f>I68/I8</f>
        <v>87.013757171880869</v>
      </c>
      <c r="J70" s="32">
        <f>J68/J8</f>
        <v>109.87029574735891</v>
      </c>
      <c r="K70" s="32">
        <f>K68/K8</f>
        <v>73.387313380700661</v>
      </c>
      <c r="L70" s="32"/>
      <c r="M70" s="32"/>
    </row>
    <row r="72" spans="2:20" x14ac:dyDescent="0.25">
      <c r="E72" s="14" t="s">
        <v>78</v>
      </c>
      <c r="G72" s="33">
        <f>$C$9*SUMPRODUCT(G47:G52,$T$60:$T$65)*($C$7/G68)</f>
        <v>0.53773637736402913</v>
      </c>
      <c r="H72" s="33">
        <f t="shared" ref="H72:K72" si="17">$C$9*SUMPRODUCT(H47:H52,$T$60:$T$65)*($C$7/H68)</f>
        <v>0.47638017776821784</v>
      </c>
      <c r="I72" s="33">
        <f t="shared" si="17"/>
        <v>0.35687456996909489</v>
      </c>
      <c r="J72" s="33">
        <f t="shared" si="17"/>
        <v>0.19710215863439559</v>
      </c>
      <c r="K72" s="33">
        <f t="shared" si="17"/>
        <v>0.56767284264557316</v>
      </c>
      <c r="L72" s="33"/>
      <c r="M72" s="33"/>
    </row>
  </sheetData>
  <mergeCells count="4">
    <mergeCell ref="B18:C18"/>
    <mergeCell ref="B31:C31"/>
    <mergeCell ref="B44:C44"/>
    <mergeCell ref="B57:C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1.a Capital Structure</vt:lpstr>
      <vt:lpstr>1.b  OPM</vt:lpstr>
      <vt:lpstr>1.c  OPM (backsolve)</vt:lpstr>
      <vt:lpstr>2.a Capital Structure</vt:lpstr>
      <vt:lpstr>2.b OPM</vt:lpstr>
      <vt:lpstr>2.c OPM (backsolve)</vt:lpstr>
      <vt:lpstr>3.a Capital Structure</vt:lpstr>
      <vt:lpstr>3.b OPM</vt:lpstr>
      <vt:lpstr>4.a Capital Structure</vt:lpstr>
      <vt:lpstr>4.b OPM</vt:lpstr>
      <vt:lpstr>5.a Capital Structure</vt:lpstr>
      <vt:lpstr>5.b OPM</vt:lpstr>
      <vt:lpstr>6.a Capital Structure</vt:lpstr>
      <vt:lpstr>6.b OPM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Tsai</dc:creator>
  <cp:lastModifiedBy>Mike Tsai</cp:lastModifiedBy>
  <dcterms:created xsi:type="dcterms:W3CDTF">2025-07-10T16:14:37Z</dcterms:created>
  <dcterms:modified xsi:type="dcterms:W3CDTF">2025-07-15T23:27:52Z</dcterms:modified>
</cp:coreProperties>
</file>